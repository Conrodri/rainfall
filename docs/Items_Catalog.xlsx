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Audit" sheetId="2" state="visible" r:id="rId4"/>
    <sheet name="Modèle" sheetId="3" state="visible" r:id="rId5"/>
    <sheet name="Drops" sheetId="4" state="visible" r:id="rId6"/>
    <sheet name="Légende" sheetId="5" state="visible" r:id="rId7"/>
  </sheets>
  <definedNames>
    <definedName function="false" hidden="true" localSheetId="1" name="_xlnm._FilterDatabase" vbProcedure="false">Audit!$A$1:$N$51</definedName>
    <definedName function="false" hidden="true" localSheetId="0" name="_xlnm._FilterDatabase" vbProcedure="false">Items!$A$1:$K$51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<sst xmlns="http://schemas.openxmlformats.org/spreadsheetml/2006/main" count="643" uniqueCount="397">
  <si>
    <t xml:space="preserve">#</t>
  </si>
  <si>
    <t xml:space="preserve">Nom</t>
  </si>
  <si>
    <t xml:space="preserve">Qualité</t>
  </si>
  <si>
    <t xml:space="preserve">Effet</t>
  </si>
  <si>
    <t xml:space="preserve">Stacking</t>
  </si>
  <si>
    <t xml:space="preserve">Tags</t>
  </si>
  <si>
    <t xml:space="preserve">Puissance relative</t>
  </si>
  <si>
    <t xml:space="preserve">Chance dans la table de sa qualité</t>
  </si>
  <si>
    <t xml:space="preserve">Chance par petit coffre</t>
  </si>
  <si>
    <t xml:space="preserve">Valeur à 5:00 (points)</t>
  </si>
  <si>
    <t xml:space="preserve">Ratio à la cible</t>
  </si>
  <si>
    <t xml:space="preserve">Lentille aiguisée</t>
  </si>
  <si>
    <t xml:space="preserve">Commun</t>
  </si>
  <si>
    <t xml:space="preserve">+10 % de chance de critique</t>
  </si>
  <si>
    <t xml:space="preserve">L</t>
  </si>
  <si>
    <t xml:space="preserve">Crit</t>
  </si>
  <si>
    <t xml:space="preserve">Sablier fêlé</t>
  </si>
  <si>
    <t xml:space="preserve">+18 % de vitesse de recharge des sorts</t>
  </si>
  <si>
    <t xml:space="preserve">L (plancher de recharge 25 %)</t>
  </si>
  <si>
    <t xml:space="preserve">Recharge</t>
  </si>
  <si>
    <t xml:space="preserve">Antidote</t>
  </si>
  <si>
    <t xml:space="preserve">Dégâts de brûlure et de poison subis -40 %</t>
  </si>
  <si>
    <t xml:space="preserve">H</t>
  </si>
  <si>
    <t xml:space="preserve">Survie</t>
  </si>
  <si>
    <t xml:space="preserve">Botte rapiécée</t>
  </si>
  <si>
    <t xml:space="preserve">+5 % de vitesse de déplacement (plafond global +10 % pour tous les items)</t>
  </si>
  <si>
    <t xml:space="preserve">L plafonné</t>
  </si>
  <si>
    <t xml:space="preserve">Mobilité</t>
  </si>
  <si>
    <t xml:space="preserve">Pierre à aiguiser</t>
  </si>
  <si>
    <t xml:space="preserve">+10 % de dégâts</t>
  </si>
  <si>
    <t xml:space="preserve">Dégâts</t>
  </si>
  <si>
    <t xml:space="preserve">Bague de vigueur</t>
  </si>
  <si>
    <t xml:space="preserve">+10 % de PV max (minimum +15 PV)</t>
  </si>
  <si>
    <t xml:space="preserve">Amulette de cuir</t>
  </si>
  <si>
    <t xml:space="preserve">+10 d'armure (réduction = armure / (armure + 100))</t>
  </si>
  <si>
    <t xml:space="preserve">Aimant de poche</t>
  </si>
  <si>
    <t xml:space="preserve">Rayon de ramassage +40 % et XP gagnée +12 %</t>
  </si>
  <si>
    <t xml:space="preserve">Or, Progression</t>
  </si>
  <si>
    <t xml:space="preserve">Sifflet de chasse</t>
  </si>
  <si>
    <t xml:space="preserve">+22 % de vitesse d'attaque (sort 1)</t>
  </si>
  <si>
    <t xml:space="preserve">L (plafond ×3)</t>
  </si>
  <si>
    <t xml:space="preserve">Auto</t>
  </si>
  <si>
    <t xml:space="preserve">Étincelle</t>
  </si>
  <si>
    <t xml:space="preserve">Proc 18 % : brûlure (100 % du coup sur 3 s)</t>
  </si>
  <si>
    <t xml:space="preserve">L (proba)</t>
  </si>
  <si>
    <t xml:space="preserve">Feu</t>
  </si>
  <si>
    <t xml:space="preserve">Flocon</t>
  </si>
  <si>
    <t xml:space="preserve">Proc 22 % : ralentissement de 30 % pendant 1,5 s</t>
  </si>
  <si>
    <t xml:space="preserve">Givre</t>
  </si>
  <si>
    <t xml:space="preserve">Fiole verte</t>
  </si>
  <si>
    <t xml:space="preserve">Proc 18 % : poison (1 cumul : 20 % du coup/s pendant 4 s)</t>
  </si>
  <si>
    <t xml:space="preserve">Poison</t>
  </si>
  <si>
    <t xml:space="preserve">Pavois fêlé</t>
  </si>
  <si>
    <t xml:space="preserve">Dégâts reçus -9 %</t>
  </si>
  <si>
    <t xml:space="preserve">Cœur de mousse</t>
  </si>
  <si>
    <t xml:space="preserve">Régénération +0,45 % des PV max par seconde</t>
  </si>
  <si>
    <t xml:space="preserve">Pièce porte-bonheur</t>
  </si>
  <si>
    <t xml:space="preserve">Chaque pièce ramassée soigne 0,05 % des PV max ; or gagné +25 %</t>
  </si>
  <si>
    <t xml:space="preserve">Or, Survie</t>
  </si>
  <si>
    <t xml:space="preserve">Éclat d'expérience</t>
  </si>
  <si>
    <t xml:space="preserve">XP gagnée +15 %</t>
  </si>
  <si>
    <t xml:space="preserve">Progression</t>
  </si>
  <si>
    <t xml:space="preserve">Plume d'empenne</t>
  </si>
  <si>
    <t xml:space="preserve">+30 % de vitesse de projectile et +12 % de portée du sort 1</t>
  </si>
  <si>
    <t xml:space="preserve">L (plafond ×2)</t>
  </si>
  <si>
    <t xml:space="preserve">Auto, Projectile</t>
  </si>
  <si>
    <t xml:space="preserve">Cristal de feu</t>
  </si>
  <si>
    <t xml:space="preserve">Peu commun</t>
  </si>
  <si>
    <t xml:space="preserve">Proc 40 % : brûlure (100 % du coup sur 3 s)</t>
  </si>
  <si>
    <t xml:space="preserve">Proc 40 % : ralentissement de 40 % pendant 2 s</t>
  </si>
  <si>
    <t xml:space="preserve">Horloge arcanique</t>
  </si>
  <si>
    <t xml:space="preserve">+20 % de vitesse de recharge et +18 % de dégâts des sorts à recharge</t>
  </si>
  <si>
    <t xml:space="preserve">Lame jumelle</t>
  </si>
  <si>
    <t xml:space="preserve">+50 % de dégâts du sort 1</t>
  </si>
  <si>
    <t xml:space="preserve">Venin concentré</t>
  </si>
  <si>
    <t xml:space="preserve">Proc 40 % : poison (cumuls sur la même cible, 20 % du coup/s pendant 4 s)</t>
  </si>
  <si>
    <t xml:space="preserve">Cape de brume</t>
  </si>
  <si>
    <t xml:space="preserve">18 % d'esquive</t>
  </si>
  <si>
    <t xml:space="preserve">Épines</t>
  </si>
  <si>
    <t xml:space="preserve">Chaque coup subi déclenche une riposte à 70 % des dégâts du sort 1 sur l'attaquant (1 riposte max par 0,5 s)</t>
  </si>
  <si>
    <t xml:space="preserve">Éclair en bouteille</t>
  </si>
  <si>
    <t xml:space="preserve">Proc 15 % : foudre sur 3 cibles à 50 % des dégâts</t>
  </si>
  <si>
    <t xml:space="preserve">Zone</t>
  </si>
  <si>
    <t xml:space="preserve">Rune de portée</t>
  </si>
  <si>
    <t xml:space="preserve">Zone des sorts +25 % et dégâts des sorts de zone +15 %</t>
  </si>
  <si>
    <t xml:space="preserve">Morsure vorace</t>
  </si>
  <si>
    <t xml:space="preserve">Chaque monstre tué rend 0,2 % des PV max</t>
  </si>
  <si>
    <t xml:space="preserve">Tonique vital</t>
  </si>
  <si>
    <t xml:space="preserve">+15 % de PV max et +0,3 % des PV max par seconde</t>
  </si>
  <si>
    <t xml:space="preserve">Orbe de veille</t>
  </si>
  <si>
    <t xml:space="preserve">Bouclier de 28 % des PV max, se reforme après 5 s sans dégâts</t>
  </si>
  <si>
    <t xml:space="preserve">L (taille)</t>
  </si>
  <si>
    <t xml:space="preserve">Sang chaud</t>
  </si>
  <si>
    <t xml:space="preserve">+70 % de dégâts sous 50 % de PV</t>
  </si>
  <si>
    <t xml:space="preserve">Risque</t>
  </si>
  <si>
    <t xml:space="preserve">Marque du chasseur</t>
  </si>
  <si>
    <t xml:space="preserve">+45 % de dégâts aux élites et aux boss</t>
  </si>
  <si>
    <t xml:space="preserve">Boss</t>
  </si>
  <si>
    <t xml:space="preserve">Carquois affûté</t>
  </si>
  <si>
    <t xml:space="preserve">+30 % de vitesse d'attaque (sort 1) et +30 % de vitesse de projectile</t>
  </si>
  <si>
    <t xml:space="preserve">Pointe perforante</t>
  </si>
  <si>
    <t xml:space="preserve">Les projectiles du sort 1 traversent 1 ennemi de plus par exemplaire (70 % des dégâts sur chaque cible suivante)</t>
  </si>
  <si>
    <t xml:space="preserve">Auto, Zone</t>
  </si>
  <si>
    <t xml:space="preserve">Aimant d'âme</t>
  </si>
  <si>
    <t xml:space="preserve">Rare</t>
  </si>
  <si>
    <t xml:space="preserve">Rayon de ramassage ×2 ; tous les 25 kills, aspire l'or et l'XP de l'écran et donne +80 % de dégâts pendant 3 s</t>
  </si>
  <si>
    <t xml:space="preserve">Or, Dégâts</t>
  </si>
  <si>
    <t xml:space="preserve">Chronomètre brisé</t>
  </si>
  <si>
    <t xml:space="preserve">+70 % de vitesse de recharge ; chaque élite tué rend 0,5 s de recharge à tous les sorts</t>
  </si>
  <si>
    <t xml:space="preserve">Tempête de braises</t>
  </si>
  <si>
    <t xml:space="preserve">Un monstre qui meurt en brûlant explose : 30 % de ses PV max à 4 ennemis proches</t>
  </si>
  <si>
    <t xml:space="preserve">Feu, Zone</t>
  </si>
  <si>
    <t xml:space="preserve">Cœur de glace</t>
  </si>
  <si>
    <t xml:space="preserve">Les monstres ralentis subissent +75 % de dégâts</t>
  </si>
  <si>
    <t xml:space="preserve">Peste vivante</t>
  </si>
  <si>
    <t xml:space="preserve">Un monstre empoisonné qui meurt libère un nuage toxique : 25 % de ses PV max à 4 ennemis proches et 1 cumul de poison</t>
  </si>
  <si>
    <t xml:space="preserve">F</t>
  </si>
  <si>
    <t xml:space="preserve">Poison, Zone</t>
  </si>
  <si>
    <t xml:space="preserve">Œil du prédateur</t>
  </si>
  <si>
    <t xml:space="preserve">+25 % de critique et coups critiques ×3 au lieu de ×2</t>
  </si>
  <si>
    <t xml:space="preserve">L + F</t>
  </si>
  <si>
    <t xml:space="preserve">Bouclier réactif</t>
  </si>
  <si>
    <t xml:space="preserve">2 charges : chacune annule un coup et se recharge en 3,4 s (affectée par la vitesse de recharge)</t>
  </si>
  <si>
    <t xml:space="preserve">H (recharge)</t>
  </si>
  <si>
    <t xml:space="preserve">Faveur du marchand</t>
  </si>
  <si>
    <t xml:space="preserve">+1 de Chance, prix des coffres -15 % et première relance à l'or de chaque étage gratuite</t>
  </si>
  <si>
    <t xml:space="preserve">H + L</t>
  </si>
  <si>
    <t xml:space="preserve">Or, Chance</t>
  </si>
  <si>
    <t xml:space="preserve">Danseur</t>
  </si>
  <si>
    <t xml:space="preserve">+75 % de dégâts tant que le joueur se déplace</t>
  </si>
  <si>
    <t xml:space="preserve">Phénix de poche</t>
  </si>
  <si>
    <t xml:space="preserve">Ressuscite une fois à 50 % de PV (usage unique, +1 par exemplaire)</t>
  </si>
  <si>
    <t xml:space="preserve">Rafale d'acier</t>
  </si>
  <si>
    <t xml:space="preserve">+40 % de vitesse d'attaque (sort 1) ; tous les 4 tirs, le sort 1 tire 3 projectiles d'un coup</t>
  </si>
  <si>
    <t xml:space="preserve">Cœur du chronomancien</t>
  </si>
  <si>
    <t xml:space="preserve">Légendaire</t>
  </si>
  <si>
    <t xml:space="preserve">10 kills en 3 s : recharge remise à zéro d'un sort aléatoire (délai interne de 2 s)</t>
  </si>
  <si>
    <t xml:space="preserve">Couronne d'écho</t>
  </si>
  <si>
    <t xml:space="preserve">Le sort 1 se répète 3 fois à 100 % des dégâts</t>
  </si>
  <si>
    <t xml:space="preserve">E (+1 répétition par exemplaire supplémentaire)</t>
  </si>
  <si>
    <t xml:space="preserve">Nova infinie</t>
  </si>
  <si>
    <t xml:space="preserve">Toutes les 4 s, nova de 400 % de dégâts qui applique brûlure, ralentissement et poison</t>
  </si>
  <si>
    <t xml:space="preserve">L (dégâts)</t>
  </si>
  <si>
    <t xml:space="preserve">Feu, Givre, Poison, Zone</t>
  </si>
  <si>
    <t xml:space="preserve">Armure du colosse</t>
  </si>
  <si>
    <t xml:space="preserve">+60 % de PV max, -25 % de dégâts reçus, -10 % de dégâts infligés</t>
  </si>
  <si>
    <t xml:space="preserve">E</t>
  </si>
  <si>
    <t xml:space="preserve">Moisson</t>
  </si>
  <si>
    <t xml:space="preserve">Chaque kill donne +0,2 % de dégâts, cumulable jusqu'à +120 % (conservé dans la run)</t>
  </si>
  <si>
    <t xml:space="preserve">L (plafond)</t>
  </si>
  <si>
    <t xml:space="preserve">Dé pipé</t>
  </si>
  <si>
    <t xml:space="preserve">+3 de Chance (relance du d100, on garde le meilleur) et le premier petit coffre de chaque étage est au moins Peu commun</t>
  </si>
  <si>
    <t xml:space="preserve">Chance</t>
  </si>
  <si>
    <t xml:space="preserve">Item</t>
  </si>
  <si>
    <t xml:space="preserve">p1</t>
  </si>
  <si>
    <t xml:space="preserve">p2</t>
  </si>
  <si>
    <t xml:space="preserve">p3</t>
  </si>
  <si>
    <t xml:space="preserve">Signification des paramètres</t>
  </si>
  <si>
    <t xml:space="preserve">Valeur à 2:30</t>
  </si>
  <si>
    <t xml:space="preserve">Valeur à 5:00</t>
  </si>
  <si>
    <t xml:space="preserve">Valeur à 7:30</t>
  </si>
  <si>
    <t xml:space="preserve">Cible (points)</t>
  </si>
  <si>
    <t xml:space="preserve">Ratio à 5:00</t>
  </si>
  <si>
    <t xml:space="preserve">Dérive 7:30 / 2:30</t>
  </si>
  <si>
    <t xml:space="preserve">Verdict</t>
  </si>
  <si>
    <t xml:space="preserve">p1 = chance de crit ajoutée ; p2 = multiplicateur de crit</t>
  </si>
  <si>
    <t xml:space="preserve">p1 = vitesse de recharge ajoutée</t>
  </si>
  <si>
    <t xml:space="preserve">p1 = réduction des dégâts sur la durée</t>
  </si>
  <si>
    <t xml:space="preserve">p1 = vitesse de déplacement ajoutée</t>
  </si>
  <si>
    <t xml:space="preserve">p1 = bonus de dégâts</t>
  </si>
  <si>
    <t xml:space="preserve">p1 = bonus de PV max</t>
  </si>
  <si>
    <t xml:space="preserve">p1 = armure ajoutée</t>
  </si>
  <si>
    <t xml:space="preserve">p1 = rayon de ramassage ; p2 = XP gagnée</t>
  </si>
  <si>
    <t xml:space="preserve">p1 = vitesse d'attaque ajoutée</t>
  </si>
  <si>
    <t xml:space="preserve">p1 = chance de proc ; p2 = dégâts de la brûlure en part du coup</t>
  </si>
  <si>
    <t xml:space="preserve">p1 = chance de proc ; p2 = équivalent en dégâts du ralentissement (30 % / 1,5 s = 0,8)</t>
  </si>
  <si>
    <t xml:space="preserve">p1 = chance de proc ; p2 = dégâts d'un cumul (20 %/s x 4 s = 0,8)</t>
  </si>
  <si>
    <t xml:space="preserve">p1 = réduction des dégâts reçus</t>
  </si>
  <si>
    <t xml:space="preserve">p1 = part des PV max rendue par seconde</t>
  </si>
  <si>
    <t xml:space="preserve">p1 = part des PV max rendue par pièce ; p2 = or gagné</t>
  </si>
  <si>
    <t xml:space="preserve">p1 = XP gagnée</t>
  </si>
  <si>
    <t xml:space="preserve">p1 = vitesse de projectile ; p2 = portée</t>
  </si>
  <si>
    <t xml:space="preserve">p1 = chance de proc ; p2 = équivalent en dégâts (40 % / 2 s = 1,0)</t>
  </si>
  <si>
    <t xml:space="preserve">p1 = vitesse de recharge ; p2 = dégâts des sorts à recharge</t>
  </si>
  <si>
    <t xml:space="preserve">p1 = dégâts du sort 1</t>
  </si>
  <si>
    <t xml:space="preserve">p1 = chance de proc ; p2 = dégâts d'un cumul</t>
  </si>
  <si>
    <t xml:space="preserve">p1 = chance d'esquive</t>
  </si>
  <si>
    <t xml:space="preserve">p1 = riposte en part des dégâts du sort 1</t>
  </si>
  <si>
    <t xml:space="preserve">p1 = chance de proc ; p2 = nombre de cibles ; p3 = dégâts en part du coup</t>
  </si>
  <si>
    <t xml:space="preserve">p1 = surface de zone ; p2 = dégâts des sorts de zone</t>
  </si>
  <si>
    <t xml:space="preserve">p1 = part des PV max rendue par kill</t>
  </si>
  <si>
    <t xml:space="preserve">p1 = bonus de PV max ; p2 = part des PV max rendue par seconde</t>
  </si>
  <si>
    <t xml:space="preserve">p1 = taille du bouclier en part des PV max</t>
  </si>
  <si>
    <t xml:space="preserve">p1 = bonus de dégâts sous 50 % de PV</t>
  </si>
  <si>
    <t xml:space="preserve">p1 = bonus de dégâts aux élites et boss</t>
  </si>
  <si>
    <t xml:space="preserve">p1 = vitesse d'attaque ; p2 = vitesse de projectile</t>
  </si>
  <si>
    <t xml:space="preserve">p1 = dégâts sur la cible traversée</t>
  </si>
  <si>
    <t xml:space="preserve">p1 = bonus de dégâts ; p2 = durée (s) ; p3 = kills entre deux déclenchements</t>
  </si>
  <si>
    <t xml:space="preserve">p1 = vitesse de recharge ; p2 = secondes rendues par élite</t>
  </si>
  <si>
    <t xml:space="preserve">p1 = part des PV max du monstre ; p2 = ennemis touchés</t>
  </si>
  <si>
    <t xml:space="preserve">p1 = bonus de dégâts sur cibles ralenties</t>
  </si>
  <si>
    <t xml:space="preserve">p1 = nombre de charges ; p2 = recharge d'une charge (s)</t>
  </si>
  <si>
    <t xml:space="preserve">p1 = points de Chance ; p2 = réduction des prix ; p3 = valeur de la relance gratuite (points)</t>
  </si>
  <si>
    <t xml:space="preserve">p1 = bonus de dégâts en mouvement</t>
  </si>
  <si>
    <t xml:space="preserve">p1 = PV rendus à la résurrection</t>
  </si>
  <si>
    <t xml:space="preserve">p1 = vitesse d'attaque ; p2 = tirs entre deux salves ; p3 = projectiles de la salve</t>
  </si>
  <si>
    <t xml:space="preserve">p1 = délai interne (s)</t>
  </si>
  <si>
    <t xml:space="preserve">p1 = nombre de répétitions</t>
  </si>
  <si>
    <t xml:space="preserve">p1 = délai (s) ; p2 = coef de dégâts ; p3 = valeur des statuts appliqués (points)</t>
  </si>
  <si>
    <t xml:space="preserve">p1 = PV max ; p2 = dégâts reçus ; p3 = malus de dégâts infligés</t>
  </si>
  <si>
    <t xml:space="preserve">p1 = bonus par kill ; p2 = plafond</t>
  </si>
  <si>
    <t xml:space="preserve">p1 = points de Chance</t>
  </si>
  <si>
    <t xml:space="preserve">Synthèse</t>
  </si>
  <si>
    <t xml:space="preserve">Items OK</t>
  </si>
  <si>
    <t xml:space="preserve">Items à corriger</t>
  </si>
  <si>
    <t xml:space="preserve">Ratio moyen à 5:00, Commun</t>
  </si>
  <si>
    <t xml:space="preserve">Ratio moyen à 5:00, Peu commun</t>
  </si>
  <si>
    <t xml:space="preserve">Ratio moyen à 5:00, Rare</t>
  </si>
  <si>
    <t xml:space="preserve">Ratio moyen à 5:00, Légendaire</t>
  </si>
  <si>
    <t xml:space="preserve">Lecture : la valeur d'un item est exprimée en points de puissance effective (1 point = +1 % de DPS ou de PV effectifs). La cible = valeur d'un Commun (Modèle, cellule U) x puissance relative de la qualité (Drops). Tolérance ±20 % ; dérive acceptable entre 0,67 et 1,5.</t>
  </si>
  <si>
    <t xml:space="preserve">Code</t>
  </si>
  <si>
    <t xml:space="preserve">Paramètre du modèle</t>
  </si>
  <si>
    <t xml:space="preserve">2:30</t>
  </si>
  <si>
    <t xml:space="preserve">5:00 (référence)</t>
  </si>
  <si>
    <t xml:space="preserve">7:30</t>
  </si>
  <si>
    <t xml:space="preserve">Source / hypothèse</t>
  </si>
  <si>
    <t xml:space="preserve">U</t>
  </si>
  <si>
    <t xml:space="preserve">Valeur d'un item Commun (points)</t>
  </si>
  <si>
    <t xml:space="preserve">Calibré sur le simulateur v3 : 21 items achetés avant 7:30 = +474 % de puissance pour ≈ 49 poids de qualité, soit ≈ 9,7 points par poids ; arrondi à 10 pour garder les cibles 10 / 22 / 50 / 120</t>
  </si>
  <si>
    <t xml:space="preserve">COEF_AUTO</t>
  </si>
  <si>
    <t xml:space="preserve">Coef de DPS du sort 1 (0,8 toutes les 0,6 s)</t>
  </si>
  <si>
    <t xml:space="preserve">Maths_Scaling.md, section 10</t>
  </si>
  <si>
    <t xml:space="preserve">COEF_MONO</t>
  </si>
  <si>
    <t xml:space="preserve">Coef de DPS du sort mono-cible (6 toutes les 8 s)</t>
  </si>
  <si>
    <t xml:space="preserve">COEF_ZONE</t>
  </si>
  <si>
    <t xml:space="preserve">Coef de DPS du sort de zone (3 toutes les 6 s)</t>
  </si>
  <si>
    <t xml:space="preserve">COEF_ULT</t>
  </si>
  <si>
    <t xml:space="preserve">Coef de DPS de l'ultime (10 toutes les 20 s)</t>
  </si>
  <si>
    <t xml:space="preserve">COEFTOT</t>
  </si>
  <si>
    <t xml:space="preserve">Coef de DPS total mono-cible</t>
  </si>
  <si>
    <t xml:space="preserve">Somme des 4 lignes ci-dessus</t>
  </si>
  <si>
    <t xml:space="preserve">SA</t>
  </si>
  <si>
    <t xml:space="preserve">Part du DPS venant du sort 1</t>
  </si>
  <si>
    <t xml:space="preserve">Calcul</t>
  </si>
  <si>
    <t xml:space="preserve">SCD</t>
  </si>
  <si>
    <t xml:space="preserve">Part du DPS venant des sorts à recharge</t>
  </si>
  <si>
    <t xml:space="preserve">SZ</t>
  </si>
  <si>
    <t xml:space="preserve">Part du DPS venant des sorts de zone (zone + ultime)</t>
  </si>
  <si>
    <t xml:space="preserve">CW</t>
  </si>
  <si>
    <t xml:space="preserve">Poids des situations de foule dans la valeur d'un effet de zone</t>
  </si>
  <si>
    <t xml:space="preserve">Hypothèse</t>
  </si>
  <si>
    <t xml:space="preserve">CROWD</t>
  </si>
  <si>
    <t xml:space="preserve">Nombre moyen d'ennemis touchés en foule</t>
  </si>
  <si>
    <t xml:space="preserve">MIX</t>
  </si>
  <si>
    <t xml:space="preserve">Multiplicateur de valeur des effets de zone</t>
  </si>
  <si>
    <t xml:space="preserve">P0</t>
  </si>
  <si>
    <t xml:space="preserve">Chance de critique de base</t>
  </si>
  <si>
    <t xml:space="preserve">Maths_Scaling.md, section 6</t>
  </si>
  <si>
    <t xml:space="preserve">M0</t>
  </si>
  <si>
    <t xml:space="preserve">Multiplicateur de critique de base</t>
  </si>
  <si>
    <t xml:space="preserve">PVREF</t>
  </si>
  <si>
    <t xml:space="preserve">PV max du joueur (niveaux 6, 10 et 14)</t>
  </si>
  <si>
    <t xml:space="preserve">100 + 30 x (L - 1), niveaux 6, 10 et 14 (simulateur v3, mode Moyen)</t>
  </si>
  <si>
    <t xml:space="preserve">INFRAC</t>
  </si>
  <si>
    <t xml:space="preserve">Dégâts subis par seconde, en part des PV max</t>
  </si>
  <si>
    <t xml:space="preserve">Hypothèse à valider en playtest : ≈ 15 PV/s à 5:00</t>
  </si>
  <si>
    <t xml:space="preserve">DPSIN</t>
  </si>
  <si>
    <t xml:space="preserve">Dégâts subis moyens par seconde (PV/s)</t>
  </si>
  <si>
    <t xml:space="preserve">DPSREF</t>
  </si>
  <si>
    <t xml:space="preserve">DPS mono-cible du joueur</t>
  </si>
  <si>
    <t xml:space="preserve">Simulateur v3 (Moyen, petits piliers sans charge, gros pilier 90 s)</t>
  </si>
  <si>
    <t xml:space="preserve">COEF_SHOT</t>
  </si>
  <si>
    <t xml:space="preserve">Coef d'un tir du sort 1</t>
  </si>
  <si>
    <t xml:space="preserve">HIT</t>
  </si>
  <si>
    <t xml:space="preserve">Dégâts d'un coup de contact tier 1</t>
  </si>
  <si>
    <t xml:space="preserve">8 x (1 + 0,30 x (D - 1)) avec D = 1,74 / 2,87 / 4,29</t>
  </si>
  <si>
    <t xml:space="preserve">EKPS</t>
  </si>
  <si>
    <t xml:space="preserve">Élites tués par seconde</t>
  </si>
  <si>
    <t xml:space="preserve">≈ 0,63 x kills/s x P_élite (D = 1,74 / 2,87 / 4,29), à valider</t>
  </si>
  <si>
    <t xml:space="preserve">KPS</t>
  </si>
  <si>
    <t xml:space="preserve">Kills par seconde</t>
  </si>
  <si>
    <t xml:space="preserve">Simulateur v3 : 5,2 à 4,8 kills/s</t>
  </si>
  <si>
    <t xml:space="preserve">CPS</t>
  </si>
  <si>
    <t xml:space="preserve">Pièces ramassées par seconde</t>
  </si>
  <si>
    <t xml:space="preserve">≈ kills/s x 1,2</t>
  </si>
  <si>
    <t xml:space="preserve">FB</t>
  </si>
  <si>
    <t xml:space="preserve">Efficacité des brûlures et ralentissements (non cumulables, dégâts perdus si le monstre meurt avant)</t>
  </si>
  <si>
    <t xml:space="preserve">0,7 (part qui arrive avant la mort) x 0,8 (saturation)</t>
  </si>
  <si>
    <t xml:space="preserve">FP</t>
  </si>
  <si>
    <t xml:space="preserve">Efficacité du poison par proc</t>
  </si>
  <si>
    <t xml:space="preserve">Part des dégâts qui arrive avant la mort</t>
  </si>
  <si>
    <t xml:space="preserve">OV</t>
  </si>
  <si>
    <t xml:space="preserve">Part des tirs qui touchent un deuxième ennemi aligné</t>
  </si>
  <si>
    <t xml:space="preserve">Hypothèse en foule dense</t>
  </si>
  <si>
    <t xml:space="preserve">UPMOVE</t>
  </si>
  <si>
    <t xml:space="preserve">Part du temps où le joueur se déplace</t>
  </si>
  <si>
    <t xml:space="preserve">Hypothèse (style survivor-like)</t>
  </si>
  <si>
    <t xml:space="preserve">UPLOW</t>
  </si>
  <si>
    <t xml:space="preserve">Part du temps passé sous 50 % de PV</t>
  </si>
  <si>
    <t xml:space="preserve">UPSLOW</t>
  </si>
  <si>
    <t xml:space="preserve">Part du temps où les cibles sont ralenties (avec items de ralentissement)</t>
  </si>
  <si>
    <t xml:space="preserve">BURNF</t>
  </si>
  <si>
    <t xml:space="preserve">Part des monstres qui meurent en brûlant (avec items de feu)</t>
  </si>
  <si>
    <t xml:space="preserve">POISF</t>
  </si>
  <si>
    <t xml:space="preserve">Part des monstres qui meurent empoisonnés (avec items de poison)</t>
  </si>
  <si>
    <t xml:space="preserve">SHBIG</t>
  </si>
  <si>
    <t xml:space="preserve">Part des dégâts à infliger qui concerne élites et boss</t>
  </si>
  <si>
    <t xml:space="preserve">SHDOT</t>
  </si>
  <si>
    <t xml:space="preserve">Part des dégâts subis venant de brûlures et de poisons</t>
  </si>
  <si>
    <t xml:space="preserve">Hypothèse à 5:00 (élites à affixes + boss)</t>
  </si>
  <si>
    <t xml:space="preserve">FSHIELD</t>
  </si>
  <si>
    <t xml:space="preserve">Part du bouclier réellement utilisée</t>
  </si>
  <si>
    <t xml:space="preserve">KSPD</t>
  </si>
  <si>
    <t xml:space="preserve">Points par % de vitesse de déplacement</t>
  </si>
  <si>
    <t xml:space="preserve">Hypothèse : fuir dans la foule vaut beaucoup, d'où le plafond +10 %</t>
  </si>
  <si>
    <t xml:space="preserve">KXP</t>
  </si>
  <si>
    <t xml:space="preserve">Points par % d'XP gagnée</t>
  </si>
  <si>
    <t xml:space="preserve">Un niveau vaut ≈ +16 points à L9 ; +10 % d'XP ≈ +0,7 niveau en fin de run</t>
  </si>
  <si>
    <t xml:space="preserve">KGOLD</t>
  </si>
  <si>
    <t xml:space="preserve">Points par % d'or gagné</t>
  </si>
  <si>
    <t xml:space="preserve">L'or est excédentaire (≈ 40 %), seules les relances à l'or en profitent</t>
  </si>
  <si>
    <t xml:space="preserve">KRAD</t>
  </si>
  <si>
    <t xml:space="preserve">Points par % de rayon de ramassage (confort)</t>
  </si>
  <si>
    <t xml:space="preserve">KV</t>
  </si>
  <si>
    <t xml:space="preserve">Points par % de vitesse de projectile</t>
  </si>
  <si>
    <t xml:space="preserve">Hypothèse (taux de touche)</t>
  </si>
  <si>
    <t xml:space="preserve">KR</t>
  </si>
  <si>
    <t xml:space="preserve">Points par % de portée</t>
  </si>
  <si>
    <t xml:space="preserve">KGOLDE</t>
  </si>
  <si>
    <t xml:space="preserve">Points d'un sac d'or d'élite x3</t>
  </si>
  <si>
    <t xml:space="preserve">Hypothèse (or excédentaire)</t>
  </si>
  <si>
    <t xml:space="preserve">NCD</t>
  </si>
  <si>
    <t xml:space="preserve">Nombre de sorts à recharge moyen</t>
  </si>
  <si>
    <t xml:space="preserve">Configuration 4 sorts</t>
  </si>
  <si>
    <t xml:space="preserve">CDAVG</t>
  </si>
  <si>
    <t xml:space="preserve">Recharge moyenne des sorts à recharge (s)</t>
  </si>
  <si>
    <t xml:space="preserve">Moyenne de 6, 8 et 20 s</t>
  </si>
  <si>
    <t xml:space="preserve">KILLS</t>
  </si>
  <si>
    <t xml:space="preserve">Kills cumulés</t>
  </si>
  <si>
    <t xml:space="preserve">CH5</t>
  </si>
  <si>
    <t xml:space="preserve">Petits coffres sur lesquels la Chance agit</t>
  </si>
  <si>
    <t xml:space="preserve">Simulateur v3 : ≈ 9 petits et grands coffres ouverts à 5:00 (≈ 25 sur la run)</t>
  </si>
  <si>
    <t xml:space="preserve">Table de drops (cellules en bleu = valeurs modifiables)</t>
  </si>
  <si>
    <t xml:space="preserve">1. Qualité par type de coffre</t>
  </si>
  <si>
    <t xml:space="preserve">Coffre</t>
  </si>
  <si>
    <t xml:space="preserve">Total</t>
  </si>
  <si>
    <t xml:space="preserve">Petit (d100)</t>
  </si>
  <si>
    <t xml:space="preserve">Large</t>
  </si>
  <si>
    <t xml:space="preserve">Boss d'étage</t>
  </si>
  <si>
    <t xml:space="preserve">Le total de chaque ligne doit faire 100 %. Chance (Luck) : chaque point relance le d100 du petit coffre et garde le meilleur résultat.</t>
  </si>
  <si>
    <t xml:space="preserve">2. Chance d'apparition d'un item précis</t>
  </si>
  <si>
    <t xml:space="preserve">Taille de la table</t>
  </si>
  <si>
    <t xml:space="preserve">Chance par item dans la table</t>
  </si>
  <si>
    <t xml:space="preserve">Chance par item sur un petit coffre</t>
  </si>
  <si>
    <t xml:space="preserve">Puissance relative cible</t>
  </si>
  <si>
    <t xml:space="preserve">3. Protection contre la malchance (pity) sur les petits coffres</t>
  </si>
  <si>
    <t xml:space="preserve">Poids Rare+ de base (Rare + Légendaire)</t>
  </si>
  <si>
    <t xml:space="preserve">Bonus par petit coffre sans Rare+</t>
  </si>
  <si>
    <t xml:space="preserve">Nº du petit coffre</t>
  </si>
  <si>
    <t xml:space="preserve">Poids Rare+ avec pity</t>
  </si>
  <si>
    <t xml:space="preserve">Proba cumulée d'au moins un Rare+ (avec pity)</t>
  </si>
  <si>
    <t xml:space="preserve">Proba cumulée (sans pity)</t>
  </si>
  <si>
    <t xml:space="preserve">Lecture : à 9 petits coffres (un peu plus d'un étage), la probabilité d'avoir au moins un Rare+ passe d'environ 53 % à environ 79 % avec le pity.</t>
  </si>
  <si>
    <t xml:space="preserve">4. Répartition attendue d'une run de 3 étages, mode Moyen (28 items : 19 petits + 5 larges + 3 boss d'étage + 1 légendaire)</t>
  </si>
  <si>
    <t xml:space="preserve">Source</t>
  </si>
  <si>
    <t xml:space="preserve">Nombre</t>
  </si>
  <si>
    <t xml:space="preserve">Petits coffres (sans pity)</t>
  </si>
  <si>
    <t xml:space="preserve">Coffres larges</t>
  </si>
  <si>
    <t xml:space="preserve">Boss d'étage (gratuit)</t>
  </si>
  <si>
    <t xml:space="preserve">Coffre légendaire (25 % des étages)</t>
  </si>
  <si>
    <t xml:space="preserve">Total attendu</t>
  </si>
  <si>
    <t xml:space="preserve">Hors effet du pity et de la Chance, qui déplacent légèrement la répartition vers Rare et Légendaire.</t>
  </si>
  <si>
    <t xml:space="preserve">Légende</t>
  </si>
  <si>
    <t xml:space="preserve">Comment lire le classeur :</t>
  </si>
  <si>
    <t xml:space="preserve">- Items : le catalogue (texte, empilement, tags, chances de drop) avec la valeur et le ratio à la cible venant de l'onglet Audit.</t>
  </si>
  <si>
    <t xml:space="preserve">- Audit : chaque item converti en points de puissance (1 point = +1 % de DPS ou de PV effectifs) aux moments 2:30, 5:00 et 7:30, comparé à sa cible.</t>
  </si>
  <si>
    <t xml:space="preserve">- Modèle : les constantes du jeu (parts de DPS, PV, dégâts subis, élites, kills) utilisées par les formules. Les valeurs en bleu sont des entrées modifiables.</t>
  </si>
  <si>
    <t xml:space="preserve">- Drops : taux de drop par coffre, chance par item, pity, répartition attendue d'une run.</t>
  </si>
  <si>
    <t xml:space="preserve">Cellules à modifier pour équilibrer :</t>
  </si>
  <si>
    <t xml:space="preserve">- Audit, colonnes p1 à p3 (en bleu) : les paramètres de chaque item. Le verdict se met à jour (OK si le ratio est entre 0,8 et 1,2 et la dérive entre 0,67 et 1,5).</t>
  </si>
  <si>
    <t xml:space="preserve">- Si tu changes un paramètre, mets aussi à jour le texte de l'effet dans Items (le texte n'est pas relié aux paramètres).</t>
  </si>
  <si>
    <t xml:space="preserve">- Modèle (en bleu) et Drops (en bleu) : hypothèses globales, probabilités, puissance relative des qualités.</t>
  </si>
  <si>
    <t xml:space="preserve">Cible de puissance :</t>
  </si>
  <si>
    <t xml:space="preserve">- Un Commun vaut 10 points, un Peu commun 22, un Rare 50, un Légendaire 120 (poids 1 / 2,2 / 5 / 12).</t>
  </si>
  <si>
    <t xml:space="preserve">- Calibrage : le simulateur v3 donne +474 % de puissance avec les 21 items achetés avant 7:30, soit ≈ 9,7 points par poids de qualité (arrondi à 10).</t>
  </si>
  <si>
    <t xml:space="preserve">Stacking :</t>
  </si>
  <si>
    <t xml:space="preserve">- L : linéaire (a x n). H : hyperbolique (1 - 1 / (1 + a x n)). E : exponentiel ((1 + a)^n - 1). F : effet fixe.</t>
  </si>
  <si>
    <t xml:space="preserve">- Les valeurs de l'audit sont celles d'un seul exemplaire.</t>
  </si>
  <si>
    <t xml:space="preserve">Plafonds :</t>
  </si>
  <si>
    <t xml:space="preserve">- Vitesse de déplacement des items +10 % au total, aucun item ne ralentit le joueur. Vitesse d'attaque (sort 1) +200 % (x3). Vitesse de projectile +100 % (x2). Recharge minimale 25 % de la base.</t>
  </si>
  <si>
    <t xml:space="preserve">Statuts :</t>
  </si>
  <si>
    <t xml:space="preserve">- Infligés aux monstres par les items du joueur : Brûlure 100 % du coup sur 3 s (non cumulable) ; Poison 20 % du coup par seconde pendant 4 s par cumul (5 max) ; Ralentissement : Flocon -30 % 1,5 s, Givre -40 % 2 s.</t>
  </si>
  <si>
    <t xml:space="preserve">- Subis par le joueur (élites) : Brûlure 25 % du coup sur 3 s ; Poison 8 % du coup par seconde pendant 4 s (5 cumuls max, régénération -50 %) ; Ralentissement -30 % 1,5 s puis 2 s d'immunité.</t>
  </si>
  <si>
    <t xml:space="preserve">- Antidote réduit les dégâts de brûlure et de poison subis (réduction de dégâts sur la durée).</t>
  </si>
  <si>
    <t xml:space="preserve">Hypothèses à valider en playtest :</t>
  </si>
  <si>
    <t xml:space="preserve">- Dégâts subis par seconde (4,4 % des PV max/s), part des dégâts venant des DoT (25 %), élites tués par seconde, part des monstres qui meurent brûlés ou empoisonnés, efficacité des statuts.</t>
  </si>
  <si>
    <t xml:space="preserve">- Les items qui dépendent d'une synergie (Tempête de braises, Peste vivante, Cœur de glace) sont valorisés en supposant que le joueur a des sources de brûlure, de poison ou de ralentissement.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</si>
</sst>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.0%"/>
    <numFmt numFmtId="167" formatCode="0.00%"/>
    <numFmt numFmtId="168" formatCode="0.00"/>
    <numFmt numFmtId="169" formatCode="0.####"/>
    <numFmt numFmtId="170" formatCode="0"/>
    <numFmt numFmtId="171" formatCode="General"/>
    <numFmt numFmtId="172" formatCode="0.###"/>
    <numFmt numFmtId="173" formatCode="0%;\-0%;\-"/>
    <numFmt numFmtId="174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E8F5E9"/>
      </patternFill>
    </fill>
    <fill>
      <patternFill patternType="solid">
        <fgColor rgb="FFE8F5E9"/>
        <bgColor rgb="FFF3F4F6"/>
      </patternFill>
    </fill>
    <fill>
      <patternFill patternType="solid">
        <fgColor rgb="FFEDE7F6"/>
        <bgColor rgb="FFF3F4F6"/>
      </patternFill>
    </fill>
    <fill>
      <patternFill patternType="solid">
        <fgColor rgb="FFFFF3D6"/>
        <bgColor rgb="FFFFE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A3412"/>
      </font>
      <fill>
        <patternFill>
          <bgColor rgb="FFFFED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F4F6"/>
      <rgbColor rgb="FFFFEDD5"/>
      <rgbColor rgb="FF99CCFF"/>
      <rgbColor rgb="FFFF99CC"/>
      <rgbColor rgb="FFCC99FF"/>
      <rgbColor rgb="FFEDE7F6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3"/>
    <col collapsed="false" customWidth="true" hidden="false" outlineLevel="0" max="11" min="11" style="0" width="11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2" t="s">
        <v>12</v>
      </c>
      <c r="D2" s="4" t="s">
        <v>13</v>
      </c>
      <c r="E2" s="4" t="s">
        <v>14</v>
      </c>
      <c r="F2" s="4" t="s">
        <v>15</v>
      </c>
      <c r="G2" s="5" t="n">
        <f aca="false">INDEX(Drops!$E$14:$E$17,MATCH(C2,Drops!$A$14:$A$17,0))</f>
        <v>1</v>
      </c>
      <c r="H2" s="6" t="n">
        <f aca="false">INDEX(Drops!$C$14:$C$17,MATCH(C2,Drops!$A$14:$A$17,0))</f>
        <v>0.0588235294117647</v>
      </c>
      <c r="I2" s="7" t="n">
        <f aca="false">INDEX(Drops!$D$14:$D$17,MATCH(C2,Drops!$A$14:$A$17,0))</f>
        <v>0.0352941176470588</v>
      </c>
      <c r="J2" s="5" t="n">
        <f aca="false">Audit!I2</f>
        <v>9.52380952380951</v>
      </c>
      <c r="K2" s="8" t="n">
        <f aca="false">Audit!L2</f>
        <v>0.952380952380951</v>
      </c>
    </row>
    <row r="3" customFormat="false" ht="23.85" hidden="false" customHeight="false" outlineLevel="0" collapsed="false">
      <c r="A3" s="2" t="n">
        <v>2</v>
      </c>
      <c r="B3" s="3" t="s">
        <v>16</v>
      </c>
      <c r="C3" s="2" t="s">
        <v>12</v>
      </c>
      <c r="D3" s="4" t="s">
        <v>17</v>
      </c>
      <c r="E3" s="4" t="s">
        <v>18</v>
      </c>
      <c r="F3" s="4" t="s">
        <v>19</v>
      </c>
      <c r="G3" s="5" t="n">
        <f aca="false">INDEX(Drops!$E$14:$E$17,MATCH(C3,Drops!$A$14:$A$17,0))</f>
        <v>1</v>
      </c>
      <c r="H3" s="6" t="n">
        <f aca="false">INDEX(Drops!$C$14:$C$17,MATCH(C3,Drops!$A$14:$A$17,0))</f>
        <v>0.0588235294117647</v>
      </c>
      <c r="I3" s="7" t="n">
        <f aca="false">INDEX(Drops!$D$14:$D$17,MATCH(C3,Drops!$A$14:$A$17,0))</f>
        <v>0.0352941176470588</v>
      </c>
      <c r="J3" s="5" t="n">
        <f aca="false">Audit!I3</f>
        <v>10.2162162162162</v>
      </c>
      <c r="K3" s="8" t="n">
        <f aca="false">Audit!L3</f>
        <v>1.02162162162162</v>
      </c>
    </row>
    <row r="4" customFormat="false" ht="15" hidden="false" customHeight="false" outlineLevel="0" collapsed="false">
      <c r="A4" s="2" t="n">
        <v>3</v>
      </c>
      <c r="B4" s="3" t="s">
        <v>20</v>
      </c>
      <c r="C4" s="2" t="s">
        <v>12</v>
      </c>
      <c r="D4" s="4" t="s">
        <v>21</v>
      </c>
      <c r="E4" s="4" t="s">
        <v>22</v>
      </c>
      <c r="F4" s="4" t="s">
        <v>23</v>
      </c>
      <c r="G4" s="5" t="n">
        <f aca="false">INDEX(Drops!$E$14:$E$17,MATCH(C4,Drops!$A$14:$A$17,0))</f>
        <v>1</v>
      </c>
      <c r="H4" s="6" t="n">
        <f aca="false">INDEX(Drops!$C$14:$C$17,MATCH(C4,Drops!$A$14:$A$17,0))</f>
        <v>0.0588235294117647</v>
      </c>
      <c r="I4" s="7" t="n">
        <f aca="false">INDEX(Drops!$D$14:$D$17,MATCH(C4,Drops!$A$14:$A$17,0))</f>
        <v>0.0352941176470588</v>
      </c>
      <c r="J4" s="5" t="n">
        <f aca="false">Audit!I4</f>
        <v>11.1111111111111</v>
      </c>
      <c r="K4" s="8" t="n">
        <f aca="false">Audit!L4</f>
        <v>1.11111111111111</v>
      </c>
    </row>
    <row r="5" customFormat="false" ht="15" hidden="false" customHeight="false" outlineLevel="0" collapsed="false">
      <c r="A5" s="2" t="n">
        <v>4</v>
      </c>
      <c r="B5" s="3" t="s">
        <v>24</v>
      </c>
      <c r="C5" s="2" t="s">
        <v>12</v>
      </c>
      <c r="D5" s="4" t="s">
        <v>25</v>
      </c>
      <c r="E5" s="4" t="s">
        <v>26</v>
      </c>
      <c r="F5" s="4" t="s">
        <v>27</v>
      </c>
      <c r="G5" s="5" t="n">
        <f aca="false">INDEX(Drops!$E$14:$E$17,MATCH(C5,Drops!$A$14:$A$17,0))</f>
        <v>1</v>
      </c>
      <c r="H5" s="6" t="n">
        <f aca="false">INDEX(Drops!$C$14:$C$17,MATCH(C5,Drops!$A$14:$A$17,0))</f>
        <v>0.0588235294117647</v>
      </c>
      <c r="I5" s="7" t="n">
        <f aca="false">INDEX(Drops!$D$14:$D$17,MATCH(C5,Drops!$A$14:$A$17,0))</f>
        <v>0.0352941176470588</v>
      </c>
      <c r="J5" s="5" t="n">
        <f aca="false">Audit!I5</f>
        <v>10</v>
      </c>
      <c r="K5" s="8" t="n">
        <f aca="false">Audit!L5</f>
        <v>1</v>
      </c>
    </row>
    <row r="6" customFormat="false" ht="15" hidden="false" customHeight="false" outlineLevel="0" collapsed="false">
      <c r="A6" s="2" t="n">
        <v>5</v>
      </c>
      <c r="B6" s="3" t="s">
        <v>28</v>
      </c>
      <c r="C6" s="2" t="s">
        <v>12</v>
      </c>
      <c r="D6" s="4" t="s">
        <v>29</v>
      </c>
      <c r="E6" s="4" t="s">
        <v>14</v>
      </c>
      <c r="F6" s="4" t="s">
        <v>30</v>
      </c>
      <c r="G6" s="5" t="n">
        <f aca="false">INDEX(Drops!$E$14:$E$17,MATCH(C6,Drops!$A$14:$A$17,0))</f>
        <v>1</v>
      </c>
      <c r="H6" s="6" t="n">
        <f aca="false">INDEX(Drops!$C$14:$C$17,MATCH(C6,Drops!$A$14:$A$17,0))</f>
        <v>0.0588235294117647</v>
      </c>
      <c r="I6" s="7" t="n">
        <f aca="false">INDEX(Drops!$D$14:$D$17,MATCH(C6,Drops!$A$14:$A$17,0))</f>
        <v>0.0352941176470588</v>
      </c>
      <c r="J6" s="5" t="n">
        <f aca="false">Audit!I6</f>
        <v>10</v>
      </c>
      <c r="K6" s="8" t="n">
        <f aca="false">Audit!L6</f>
        <v>1</v>
      </c>
    </row>
    <row r="7" customFormat="false" ht="15" hidden="false" customHeight="false" outlineLevel="0" collapsed="false">
      <c r="A7" s="2" t="n">
        <v>6</v>
      </c>
      <c r="B7" s="3" t="s">
        <v>31</v>
      </c>
      <c r="C7" s="2" t="s">
        <v>12</v>
      </c>
      <c r="D7" s="4" t="s">
        <v>32</v>
      </c>
      <c r="E7" s="4" t="s">
        <v>14</v>
      </c>
      <c r="F7" s="4" t="s">
        <v>23</v>
      </c>
      <c r="G7" s="5" t="n">
        <f aca="false">INDEX(Drops!$E$14:$E$17,MATCH(C7,Drops!$A$14:$A$17,0))</f>
        <v>1</v>
      </c>
      <c r="H7" s="6" t="n">
        <f aca="false">INDEX(Drops!$C$14:$C$17,MATCH(C7,Drops!$A$14:$A$17,0))</f>
        <v>0.0588235294117647</v>
      </c>
      <c r="I7" s="7" t="n">
        <f aca="false">INDEX(Drops!$D$14:$D$17,MATCH(C7,Drops!$A$14:$A$17,0))</f>
        <v>0.0352941176470588</v>
      </c>
      <c r="J7" s="5" t="n">
        <f aca="false">Audit!I7</f>
        <v>10</v>
      </c>
      <c r="K7" s="8" t="n">
        <f aca="false">Audit!L7</f>
        <v>1</v>
      </c>
    </row>
    <row r="8" customFormat="false" ht="15" hidden="false" customHeight="false" outlineLevel="0" collapsed="false">
      <c r="A8" s="2" t="n">
        <v>7</v>
      </c>
      <c r="B8" s="3" t="s">
        <v>33</v>
      </c>
      <c r="C8" s="2" t="s">
        <v>12</v>
      </c>
      <c r="D8" s="4" t="s">
        <v>34</v>
      </c>
      <c r="E8" s="4" t="s">
        <v>14</v>
      </c>
      <c r="F8" s="4" t="s">
        <v>23</v>
      </c>
      <c r="G8" s="5" t="n">
        <f aca="false">INDEX(Drops!$E$14:$E$17,MATCH(C8,Drops!$A$14:$A$17,0))</f>
        <v>1</v>
      </c>
      <c r="H8" s="6" t="n">
        <f aca="false">INDEX(Drops!$C$14:$C$17,MATCH(C8,Drops!$A$14:$A$17,0))</f>
        <v>0.0588235294117647</v>
      </c>
      <c r="I8" s="7" t="n">
        <f aca="false">INDEX(Drops!$D$14:$D$17,MATCH(C8,Drops!$A$14:$A$17,0))</f>
        <v>0.0352941176470588</v>
      </c>
      <c r="J8" s="5" t="n">
        <f aca="false">Audit!I8</f>
        <v>10</v>
      </c>
      <c r="K8" s="8" t="n">
        <f aca="false">Audit!L8</f>
        <v>1</v>
      </c>
    </row>
    <row r="9" customFormat="false" ht="15" hidden="false" customHeight="false" outlineLevel="0" collapsed="false">
      <c r="A9" s="2" t="n">
        <v>8</v>
      </c>
      <c r="B9" s="3" t="s">
        <v>35</v>
      </c>
      <c r="C9" s="2" t="s">
        <v>12</v>
      </c>
      <c r="D9" s="4" t="s">
        <v>36</v>
      </c>
      <c r="E9" s="4" t="s">
        <v>14</v>
      </c>
      <c r="F9" s="4" t="s">
        <v>37</v>
      </c>
      <c r="G9" s="5" t="n">
        <f aca="false">INDEX(Drops!$E$14:$E$17,MATCH(C9,Drops!$A$14:$A$17,0))</f>
        <v>1</v>
      </c>
      <c r="H9" s="6" t="n">
        <f aca="false">INDEX(Drops!$C$14:$C$17,MATCH(C9,Drops!$A$14:$A$17,0))</f>
        <v>0.0588235294117647</v>
      </c>
      <c r="I9" s="7" t="n">
        <f aca="false">INDEX(Drops!$D$14:$D$17,MATCH(C9,Drops!$A$14:$A$17,0))</f>
        <v>0.0352941176470588</v>
      </c>
      <c r="J9" s="5" t="n">
        <f aca="false">Audit!I9</f>
        <v>10.2</v>
      </c>
      <c r="K9" s="8" t="n">
        <f aca="false">Audit!L9</f>
        <v>1.02</v>
      </c>
    </row>
    <row r="10" customFormat="false" ht="15" hidden="false" customHeight="false" outlineLevel="0" collapsed="false">
      <c r="A10" s="2" t="n">
        <v>9</v>
      </c>
      <c r="B10" s="3" t="s">
        <v>38</v>
      </c>
      <c r="C10" s="2" t="s">
        <v>12</v>
      </c>
      <c r="D10" s="4" t="s">
        <v>39</v>
      </c>
      <c r="E10" s="4" t="s">
        <v>40</v>
      </c>
      <c r="F10" s="4" t="s">
        <v>41</v>
      </c>
      <c r="G10" s="5" t="n">
        <f aca="false">INDEX(Drops!$E$14:$E$17,MATCH(C10,Drops!$A$14:$A$17,0))</f>
        <v>1</v>
      </c>
      <c r="H10" s="6" t="n">
        <f aca="false">INDEX(Drops!$C$14:$C$17,MATCH(C10,Drops!$A$14:$A$17,0))</f>
        <v>0.0588235294117647</v>
      </c>
      <c r="I10" s="7" t="n">
        <f aca="false">INDEX(Drops!$D$14:$D$17,MATCH(C10,Drops!$A$14:$A$17,0))</f>
        <v>0.0352941176470588</v>
      </c>
      <c r="J10" s="5" t="n">
        <f aca="false">Audit!I10</f>
        <v>9.51351351351351</v>
      </c>
      <c r="K10" s="8" t="n">
        <f aca="false">Audit!L10</f>
        <v>0.951351351351351</v>
      </c>
    </row>
    <row r="11" customFormat="false" ht="15" hidden="false" customHeight="false" outlineLevel="0" collapsed="false">
      <c r="A11" s="2" t="n">
        <v>10</v>
      </c>
      <c r="B11" s="3" t="s">
        <v>42</v>
      </c>
      <c r="C11" s="2" t="s">
        <v>12</v>
      </c>
      <c r="D11" s="4" t="s">
        <v>43</v>
      </c>
      <c r="E11" s="4" t="s">
        <v>44</v>
      </c>
      <c r="F11" s="4" t="s">
        <v>45</v>
      </c>
      <c r="G11" s="5" t="n">
        <f aca="false">INDEX(Drops!$E$14:$E$17,MATCH(C11,Drops!$A$14:$A$17,0))</f>
        <v>1</v>
      </c>
      <c r="H11" s="6" t="n">
        <f aca="false">INDEX(Drops!$C$14:$C$17,MATCH(C11,Drops!$A$14:$A$17,0))</f>
        <v>0.0588235294117647</v>
      </c>
      <c r="I11" s="7" t="n">
        <f aca="false">INDEX(Drops!$D$14:$D$17,MATCH(C11,Drops!$A$14:$A$17,0))</f>
        <v>0.0352941176470588</v>
      </c>
      <c r="J11" s="5" t="n">
        <f aca="false">Audit!I11</f>
        <v>10.08</v>
      </c>
      <c r="K11" s="8" t="n">
        <f aca="false">Audit!L11</f>
        <v>1.008</v>
      </c>
    </row>
    <row r="12" customFormat="false" ht="15" hidden="false" customHeight="false" outlineLevel="0" collapsed="false">
      <c r="A12" s="2" t="n">
        <v>11</v>
      </c>
      <c r="B12" s="3" t="s">
        <v>46</v>
      </c>
      <c r="C12" s="2" t="s">
        <v>12</v>
      </c>
      <c r="D12" s="4" t="s">
        <v>47</v>
      </c>
      <c r="E12" s="4" t="s">
        <v>44</v>
      </c>
      <c r="F12" s="4" t="s">
        <v>48</v>
      </c>
      <c r="G12" s="5" t="n">
        <f aca="false">INDEX(Drops!$E$14:$E$17,MATCH(C12,Drops!$A$14:$A$17,0))</f>
        <v>1</v>
      </c>
      <c r="H12" s="6" t="n">
        <f aca="false">INDEX(Drops!$C$14:$C$17,MATCH(C12,Drops!$A$14:$A$17,0))</f>
        <v>0.0588235294117647</v>
      </c>
      <c r="I12" s="7" t="n">
        <f aca="false">INDEX(Drops!$D$14:$D$17,MATCH(C12,Drops!$A$14:$A$17,0))</f>
        <v>0.0352941176470588</v>
      </c>
      <c r="J12" s="5" t="n">
        <f aca="false">Audit!I12</f>
        <v>9.856</v>
      </c>
      <c r="K12" s="8" t="n">
        <f aca="false">Audit!L12</f>
        <v>0.9856</v>
      </c>
    </row>
    <row r="13" customFormat="false" ht="15" hidden="false" customHeight="false" outlineLevel="0" collapsed="false">
      <c r="A13" s="2" t="n">
        <v>12</v>
      </c>
      <c r="B13" s="3" t="s">
        <v>49</v>
      </c>
      <c r="C13" s="2" t="s">
        <v>12</v>
      </c>
      <c r="D13" s="4" t="s">
        <v>50</v>
      </c>
      <c r="E13" s="4" t="s">
        <v>44</v>
      </c>
      <c r="F13" s="4" t="s">
        <v>51</v>
      </c>
      <c r="G13" s="5" t="n">
        <f aca="false">INDEX(Drops!$E$14:$E$17,MATCH(C13,Drops!$A$14:$A$17,0))</f>
        <v>1</v>
      </c>
      <c r="H13" s="6" t="n">
        <f aca="false">INDEX(Drops!$C$14:$C$17,MATCH(C13,Drops!$A$14:$A$17,0))</f>
        <v>0.0588235294117647</v>
      </c>
      <c r="I13" s="7" t="n">
        <f aca="false">INDEX(Drops!$D$14:$D$17,MATCH(C13,Drops!$A$14:$A$17,0))</f>
        <v>0.0352941176470588</v>
      </c>
      <c r="J13" s="5" t="n">
        <f aca="false">Audit!I13</f>
        <v>10.08</v>
      </c>
      <c r="K13" s="8" t="n">
        <f aca="false">Audit!L13</f>
        <v>1.008</v>
      </c>
    </row>
    <row r="14" customFormat="false" ht="15" hidden="false" customHeight="false" outlineLevel="0" collapsed="false">
      <c r="A14" s="2" t="n">
        <v>13</v>
      </c>
      <c r="B14" s="3" t="s">
        <v>52</v>
      </c>
      <c r="C14" s="2" t="s">
        <v>12</v>
      </c>
      <c r="D14" s="4" t="s">
        <v>53</v>
      </c>
      <c r="E14" s="4" t="s">
        <v>22</v>
      </c>
      <c r="F14" s="4" t="s">
        <v>23</v>
      </c>
      <c r="G14" s="5" t="n">
        <f aca="false">INDEX(Drops!$E$14:$E$17,MATCH(C14,Drops!$A$14:$A$17,0))</f>
        <v>1</v>
      </c>
      <c r="H14" s="6" t="n">
        <f aca="false">INDEX(Drops!$C$14:$C$17,MATCH(C14,Drops!$A$14:$A$17,0))</f>
        <v>0.0588235294117647</v>
      </c>
      <c r="I14" s="7" t="n">
        <f aca="false">INDEX(Drops!$D$14:$D$17,MATCH(C14,Drops!$A$14:$A$17,0))</f>
        <v>0.0352941176470588</v>
      </c>
      <c r="J14" s="5" t="n">
        <f aca="false">Audit!I14</f>
        <v>9.89010989010988</v>
      </c>
      <c r="K14" s="8" t="n">
        <f aca="false">Audit!L14</f>
        <v>0.989010989010988</v>
      </c>
    </row>
    <row r="15" customFormat="false" ht="15" hidden="false" customHeight="false" outlineLevel="0" collapsed="false">
      <c r="A15" s="2" t="n">
        <v>14</v>
      </c>
      <c r="B15" s="3" t="s">
        <v>54</v>
      </c>
      <c r="C15" s="2" t="s">
        <v>12</v>
      </c>
      <c r="D15" s="4" t="s">
        <v>55</v>
      </c>
      <c r="E15" s="4" t="s">
        <v>14</v>
      </c>
      <c r="F15" s="4" t="s">
        <v>23</v>
      </c>
      <c r="G15" s="5" t="n">
        <f aca="false">INDEX(Drops!$E$14:$E$17,MATCH(C15,Drops!$A$14:$A$17,0))</f>
        <v>1</v>
      </c>
      <c r="H15" s="6" t="n">
        <f aca="false">INDEX(Drops!$C$14:$C$17,MATCH(C15,Drops!$A$14:$A$17,0))</f>
        <v>0.0588235294117647</v>
      </c>
      <c r="I15" s="7" t="n">
        <f aca="false">INDEX(Drops!$D$14:$D$17,MATCH(C15,Drops!$A$14:$A$17,0))</f>
        <v>0.0352941176470588</v>
      </c>
      <c r="J15" s="5" t="n">
        <f aca="false">Audit!I15</f>
        <v>10.2272727272727</v>
      </c>
      <c r="K15" s="8" t="n">
        <f aca="false">Audit!L15</f>
        <v>1.02272727272727</v>
      </c>
    </row>
    <row r="16" customFormat="false" ht="15" hidden="false" customHeight="false" outlineLevel="0" collapsed="false">
      <c r="A16" s="2" t="n">
        <v>15</v>
      </c>
      <c r="B16" s="3" t="s">
        <v>56</v>
      </c>
      <c r="C16" s="2" t="s">
        <v>12</v>
      </c>
      <c r="D16" s="4" t="s">
        <v>57</v>
      </c>
      <c r="E16" s="4" t="s">
        <v>14</v>
      </c>
      <c r="F16" s="4" t="s">
        <v>58</v>
      </c>
      <c r="G16" s="5" t="n">
        <f aca="false">INDEX(Drops!$E$14:$E$17,MATCH(C16,Drops!$A$14:$A$17,0))</f>
        <v>1</v>
      </c>
      <c r="H16" s="6" t="n">
        <f aca="false">INDEX(Drops!$C$14:$C$17,MATCH(C16,Drops!$A$14:$A$17,0))</f>
        <v>0.0588235294117647</v>
      </c>
      <c r="I16" s="7" t="n">
        <f aca="false">INDEX(Drops!$D$14:$D$17,MATCH(C16,Drops!$A$14:$A$17,0))</f>
        <v>0.0352941176470588</v>
      </c>
      <c r="J16" s="5" t="n">
        <f aca="false">Audit!I16</f>
        <v>10.0681818181818</v>
      </c>
      <c r="K16" s="8" t="n">
        <f aca="false">Audit!L16</f>
        <v>1.00681818181818</v>
      </c>
    </row>
    <row r="17" customFormat="false" ht="15" hidden="false" customHeight="false" outlineLevel="0" collapsed="false">
      <c r="A17" s="2" t="n">
        <v>16</v>
      </c>
      <c r="B17" s="3" t="s">
        <v>59</v>
      </c>
      <c r="C17" s="2" t="s">
        <v>12</v>
      </c>
      <c r="D17" s="4" t="s">
        <v>60</v>
      </c>
      <c r="E17" s="4" t="s">
        <v>14</v>
      </c>
      <c r="F17" s="4" t="s">
        <v>61</v>
      </c>
      <c r="G17" s="5" t="n">
        <f aca="false">INDEX(Drops!$E$14:$E$17,MATCH(C17,Drops!$A$14:$A$17,0))</f>
        <v>1</v>
      </c>
      <c r="H17" s="6" t="n">
        <f aca="false">INDEX(Drops!$C$14:$C$17,MATCH(C17,Drops!$A$14:$A$17,0))</f>
        <v>0.0588235294117647</v>
      </c>
      <c r="I17" s="7" t="n">
        <f aca="false">INDEX(Drops!$D$14:$D$17,MATCH(C17,Drops!$A$14:$A$17,0))</f>
        <v>0.0352941176470588</v>
      </c>
      <c r="J17" s="5" t="n">
        <f aca="false">Audit!I17</f>
        <v>9</v>
      </c>
      <c r="K17" s="8" t="n">
        <f aca="false">Audit!L17</f>
        <v>0.9</v>
      </c>
    </row>
    <row r="18" customFormat="false" ht="15" hidden="false" customHeight="false" outlineLevel="0" collapsed="false">
      <c r="A18" s="2" t="n">
        <v>17</v>
      </c>
      <c r="B18" s="3" t="s">
        <v>62</v>
      </c>
      <c r="C18" s="2" t="s">
        <v>12</v>
      </c>
      <c r="D18" s="4" t="s">
        <v>63</v>
      </c>
      <c r="E18" s="4" t="s">
        <v>64</v>
      </c>
      <c r="F18" s="4" t="s">
        <v>65</v>
      </c>
      <c r="G18" s="5" t="n">
        <f aca="false">INDEX(Drops!$E$14:$E$17,MATCH(C18,Drops!$A$14:$A$17,0))</f>
        <v>1</v>
      </c>
      <c r="H18" s="6" t="n">
        <f aca="false">INDEX(Drops!$C$14:$C$17,MATCH(C18,Drops!$A$14:$A$17,0))</f>
        <v>0.0588235294117647</v>
      </c>
      <c r="I18" s="7" t="n">
        <f aca="false">INDEX(Drops!$D$14:$D$17,MATCH(C18,Drops!$A$14:$A$17,0))</f>
        <v>0.0352941176470588</v>
      </c>
      <c r="J18" s="5" t="n">
        <f aca="false">Audit!I18</f>
        <v>9.9</v>
      </c>
      <c r="K18" s="8" t="n">
        <f aca="false">Audit!L18</f>
        <v>0.99</v>
      </c>
    </row>
    <row r="19" customFormat="false" ht="15" hidden="false" customHeight="false" outlineLevel="0" collapsed="false">
      <c r="A19" s="9" t="n">
        <v>18</v>
      </c>
      <c r="B19" s="10" t="s">
        <v>66</v>
      </c>
      <c r="C19" s="9" t="s">
        <v>67</v>
      </c>
      <c r="D19" s="11" t="s">
        <v>68</v>
      </c>
      <c r="E19" s="11" t="s">
        <v>44</v>
      </c>
      <c r="F19" s="11" t="s">
        <v>45</v>
      </c>
      <c r="G19" s="12" t="n">
        <f aca="false">INDEX(Drops!$E$14:$E$17,MATCH(C19,Drops!$A$14:$A$17,0))</f>
        <v>2.2</v>
      </c>
      <c r="H19" s="13" t="n">
        <f aca="false">INDEX(Drops!$C$14:$C$17,MATCH(C19,Drops!$A$14:$A$17,0))</f>
        <v>0.0625</v>
      </c>
      <c r="I19" s="14" t="n">
        <f aca="false">INDEX(Drops!$D$14:$D$17,MATCH(C19,Drops!$A$14:$A$17,0))</f>
        <v>0.02</v>
      </c>
      <c r="J19" s="12" t="n">
        <f aca="false">Audit!I19</f>
        <v>22.4</v>
      </c>
      <c r="K19" s="15" t="n">
        <f aca="false">Audit!L19</f>
        <v>1.01818181818182</v>
      </c>
    </row>
    <row r="20" customFormat="false" ht="15" hidden="false" customHeight="false" outlineLevel="0" collapsed="false">
      <c r="A20" s="9" t="n">
        <v>19</v>
      </c>
      <c r="B20" s="10" t="s">
        <v>48</v>
      </c>
      <c r="C20" s="9" t="s">
        <v>67</v>
      </c>
      <c r="D20" s="11" t="s">
        <v>69</v>
      </c>
      <c r="E20" s="11" t="s">
        <v>44</v>
      </c>
      <c r="F20" s="11" t="s">
        <v>48</v>
      </c>
      <c r="G20" s="12" t="n">
        <f aca="false">INDEX(Drops!$E$14:$E$17,MATCH(C20,Drops!$A$14:$A$17,0))</f>
        <v>2.2</v>
      </c>
      <c r="H20" s="13" t="n">
        <f aca="false">INDEX(Drops!$C$14:$C$17,MATCH(C20,Drops!$A$14:$A$17,0))</f>
        <v>0.0625</v>
      </c>
      <c r="I20" s="14" t="n">
        <f aca="false">INDEX(Drops!$D$14:$D$17,MATCH(C20,Drops!$A$14:$A$17,0))</f>
        <v>0.02</v>
      </c>
      <c r="J20" s="12" t="n">
        <f aca="false">Audit!I20</f>
        <v>22.4</v>
      </c>
      <c r="K20" s="15" t="n">
        <f aca="false">Audit!L20</f>
        <v>1.01818181818182</v>
      </c>
    </row>
    <row r="21" customFormat="false" ht="15" hidden="false" customHeight="false" outlineLevel="0" collapsed="false">
      <c r="A21" s="9" t="n">
        <v>20</v>
      </c>
      <c r="B21" s="10" t="s">
        <v>70</v>
      </c>
      <c r="C21" s="9" t="s">
        <v>67</v>
      </c>
      <c r="D21" s="11" t="s">
        <v>71</v>
      </c>
      <c r="E21" s="11" t="s">
        <v>14</v>
      </c>
      <c r="F21" s="11" t="s">
        <v>19</v>
      </c>
      <c r="G21" s="12" t="n">
        <f aca="false">INDEX(Drops!$E$14:$E$17,MATCH(C21,Drops!$A$14:$A$17,0))</f>
        <v>2.2</v>
      </c>
      <c r="H21" s="13" t="n">
        <f aca="false">INDEX(Drops!$C$14:$C$17,MATCH(C21,Drops!$A$14:$A$17,0))</f>
        <v>0.0625</v>
      </c>
      <c r="I21" s="14" t="n">
        <f aca="false">INDEX(Drops!$D$14:$D$17,MATCH(C21,Drops!$A$14:$A$17,0))</f>
        <v>0.02</v>
      </c>
      <c r="J21" s="12" t="n">
        <f aca="false">Audit!I21</f>
        <v>21.5675675675676</v>
      </c>
      <c r="K21" s="15" t="n">
        <f aca="false">Audit!L21</f>
        <v>0.98034398034398</v>
      </c>
    </row>
    <row r="22" customFormat="false" ht="15" hidden="false" customHeight="false" outlineLevel="0" collapsed="false">
      <c r="A22" s="9" t="n">
        <v>21</v>
      </c>
      <c r="B22" s="10" t="s">
        <v>72</v>
      </c>
      <c r="C22" s="9" t="s">
        <v>67</v>
      </c>
      <c r="D22" s="11" t="s">
        <v>73</v>
      </c>
      <c r="E22" s="11" t="s">
        <v>14</v>
      </c>
      <c r="F22" s="11" t="s">
        <v>41</v>
      </c>
      <c r="G22" s="12" t="n">
        <f aca="false">INDEX(Drops!$E$14:$E$17,MATCH(C22,Drops!$A$14:$A$17,0))</f>
        <v>2.2</v>
      </c>
      <c r="H22" s="13" t="n">
        <f aca="false">INDEX(Drops!$C$14:$C$17,MATCH(C22,Drops!$A$14:$A$17,0))</f>
        <v>0.0625</v>
      </c>
      <c r="I22" s="14" t="n">
        <f aca="false">INDEX(Drops!$D$14:$D$17,MATCH(C22,Drops!$A$14:$A$17,0))</f>
        <v>0.02</v>
      </c>
      <c r="J22" s="12" t="n">
        <f aca="false">Audit!I22</f>
        <v>21.6216216216216</v>
      </c>
      <c r="K22" s="15" t="n">
        <f aca="false">Audit!L22</f>
        <v>0.982800982800983</v>
      </c>
    </row>
    <row r="23" customFormat="false" ht="15" hidden="false" customHeight="false" outlineLevel="0" collapsed="false">
      <c r="A23" s="9" t="n">
        <v>22</v>
      </c>
      <c r="B23" s="10" t="s">
        <v>74</v>
      </c>
      <c r="C23" s="9" t="s">
        <v>67</v>
      </c>
      <c r="D23" s="11" t="s">
        <v>75</v>
      </c>
      <c r="E23" s="11" t="s">
        <v>44</v>
      </c>
      <c r="F23" s="11" t="s">
        <v>51</v>
      </c>
      <c r="G23" s="12" t="n">
        <f aca="false">INDEX(Drops!$E$14:$E$17,MATCH(C23,Drops!$A$14:$A$17,0))</f>
        <v>2.2</v>
      </c>
      <c r="H23" s="13" t="n">
        <f aca="false">INDEX(Drops!$C$14:$C$17,MATCH(C23,Drops!$A$14:$A$17,0))</f>
        <v>0.0625</v>
      </c>
      <c r="I23" s="14" t="n">
        <f aca="false">INDEX(Drops!$D$14:$D$17,MATCH(C23,Drops!$A$14:$A$17,0))</f>
        <v>0.02</v>
      </c>
      <c r="J23" s="12" t="n">
        <f aca="false">Audit!I23</f>
        <v>22.4</v>
      </c>
      <c r="K23" s="15" t="n">
        <f aca="false">Audit!L23</f>
        <v>1.01818181818182</v>
      </c>
    </row>
    <row r="24" customFormat="false" ht="15" hidden="false" customHeight="false" outlineLevel="0" collapsed="false">
      <c r="A24" s="9" t="n">
        <v>23</v>
      </c>
      <c r="B24" s="10" t="s">
        <v>76</v>
      </c>
      <c r="C24" s="9" t="s">
        <v>67</v>
      </c>
      <c r="D24" s="11" t="s">
        <v>77</v>
      </c>
      <c r="E24" s="11" t="s">
        <v>22</v>
      </c>
      <c r="F24" s="11" t="s">
        <v>23</v>
      </c>
      <c r="G24" s="12" t="n">
        <f aca="false">INDEX(Drops!$E$14:$E$17,MATCH(C24,Drops!$A$14:$A$17,0))</f>
        <v>2.2</v>
      </c>
      <c r="H24" s="13" t="n">
        <f aca="false">INDEX(Drops!$C$14:$C$17,MATCH(C24,Drops!$A$14:$A$17,0))</f>
        <v>0.0625</v>
      </c>
      <c r="I24" s="14" t="n">
        <f aca="false">INDEX(Drops!$D$14:$D$17,MATCH(C24,Drops!$A$14:$A$17,0))</f>
        <v>0.02</v>
      </c>
      <c r="J24" s="12" t="n">
        <f aca="false">Audit!I24</f>
        <v>21.9512195121951</v>
      </c>
      <c r="K24" s="15" t="n">
        <f aca="false">Audit!L24</f>
        <v>0.997782705099778</v>
      </c>
    </row>
    <row r="25" customFormat="false" ht="23.85" hidden="false" customHeight="false" outlineLevel="0" collapsed="false">
      <c r="A25" s="9" t="n">
        <v>24</v>
      </c>
      <c r="B25" s="10" t="s">
        <v>78</v>
      </c>
      <c r="C25" s="9" t="s">
        <v>67</v>
      </c>
      <c r="D25" s="11" t="s">
        <v>79</v>
      </c>
      <c r="E25" s="11" t="s">
        <v>14</v>
      </c>
      <c r="F25" s="11" t="s">
        <v>23</v>
      </c>
      <c r="G25" s="12" t="n">
        <f aca="false">INDEX(Drops!$E$14:$E$17,MATCH(C25,Drops!$A$14:$A$17,0))</f>
        <v>2.2</v>
      </c>
      <c r="H25" s="13" t="n">
        <f aca="false">INDEX(Drops!$C$14:$C$17,MATCH(C25,Drops!$A$14:$A$17,0))</f>
        <v>0.0625</v>
      </c>
      <c r="I25" s="14" t="n">
        <f aca="false">INDEX(Drops!$D$14:$D$17,MATCH(C25,Drops!$A$14:$A$17,0))</f>
        <v>0.02</v>
      </c>
      <c r="J25" s="12" t="n">
        <f aca="false">Audit!I25</f>
        <v>24.2360655737705</v>
      </c>
      <c r="K25" s="15" t="n">
        <f aca="false">Audit!L25</f>
        <v>1.1016393442623</v>
      </c>
    </row>
    <row r="26" customFormat="false" ht="15" hidden="false" customHeight="false" outlineLevel="0" collapsed="false">
      <c r="A26" s="9" t="n">
        <v>25</v>
      </c>
      <c r="B26" s="10" t="s">
        <v>80</v>
      </c>
      <c r="C26" s="9" t="s">
        <v>67</v>
      </c>
      <c r="D26" s="11" t="s">
        <v>81</v>
      </c>
      <c r="E26" s="11" t="s">
        <v>44</v>
      </c>
      <c r="F26" s="11" t="s">
        <v>82</v>
      </c>
      <c r="G26" s="12" t="n">
        <f aca="false">INDEX(Drops!$E$14:$E$17,MATCH(C26,Drops!$A$14:$A$17,0))</f>
        <v>2.2</v>
      </c>
      <c r="H26" s="13" t="n">
        <f aca="false">INDEX(Drops!$C$14:$C$17,MATCH(C26,Drops!$A$14:$A$17,0))</f>
        <v>0.0625</v>
      </c>
      <c r="I26" s="14" t="n">
        <f aca="false">INDEX(Drops!$D$14:$D$17,MATCH(C26,Drops!$A$14:$A$17,0))</f>
        <v>0.02</v>
      </c>
      <c r="J26" s="12" t="n">
        <f aca="false">Audit!I26</f>
        <v>22.5</v>
      </c>
      <c r="K26" s="15" t="n">
        <f aca="false">Audit!L26</f>
        <v>1.02272727272727</v>
      </c>
    </row>
    <row r="27" customFormat="false" ht="15" hidden="false" customHeight="false" outlineLevel="0" collapsed="false">
      <c r="A27" s="9" t="n">
        <v>26</v>
      </c>
      <c r="B27" s="10" t="s">
        <v>83</v>
      </c>
      <c r="C27" s="9" t="s">
        <v>67</v>
      </c>
      <c r="D27" s="11" t="s">
        <v>84</v>
      </c>
      <c r="E27" s="11" t="s">
        <v>14</v>
      </c>
      <c r="F27" s="11" t="s">
        <v>82</v>
      </c>
      <c r="G27" s="12" t="n">
        <f aca="false">INDEX(Drops!$E$14:$E$17,MATCH(C27,Drops!$A$14:$A$17,0))</f>
        <v>2.2</v>
      </c>
      <c r="H27" s="13" t="n">
        <f aca="false">INDEX(Drops!$C$14:$C$17,MATCH(C27,Drops!$A$14:$A$17,0))</f>
        <v>0.0625</v>
      </c>
      <c r="I27" s="14" t="n">
        <f aca="false">INDEX(Drops!$D$14:$D$17,MATCH(C27,Drops!$A$14:$A$17,0))</f>
        <v>0.02</v>
      </c>
      <c r="J27" s="12" t="n">
        <f aca="false">Audit!I27</f>
        <v>22.2972972972973</v>
      </c>
      <c r="K27" s="15" t="n">
        <f aca="false">Audit!L27</f>
        <v>1.01351351351351</v>
      </c>
    </row>
    <row r="28" customFormat="false" ht="15" hidden="false" customHeight="false" outlineLevel="0" collapsed="false">
      <c r="A28" s="9" t="n">
        <v>27</v>
      </c>
      <c r="B28" s="10" t="s">
        <v>85</v>
      </c>
      <c r="C28" s="9" t="s">
        <v>67</v>
      </c>
      <c r="D28" s="11" t="s">
        <v>86</v>
      </c>
      <c r="E28" s="11" t="s">
        <v>14</v>
      </c>
      <c r="F28" s="11" t="s">
        <v>23</v>
      </c>
      <c r="G28" s="12" t="n">
        <f aca="false">INDEX(Drops!$E$14:$E$17,MATCH(C28,Drops!$A$14:$A$17,0))</f>
        <v>2.2</v>
      </c>
      <c r="H28" s="13" t="n">
        <f aca="false">INDEX(Drops!$C$14:$C$17,MATCH(C28,Drops!$A$14:$A$17,0))</f>
        <v>0.0625</v>
      </c>
      <c r="I28" s="14" t="n">
        <f aca="false">INDEX(Drops!$D$14:$D$17,MATCH(C28,Drops!$A$14:$A$17,0))</f>
        <v>0.02</v>
      </c>
      <c r="J28" s="12" t="n">
        <f aca="false">Audit!I28</f>
        <v>22.7272727272727</v>
      </c>
      <c r="K28" s="15" t="n">
        <f aca="false">Audit!L28</f>
        <v>1.03305785123967</v>
      </c>
    </row>
    <row r="29" customFormat="false" ht="15" hidden="false" customHeight="false" outlineLevel="0" collapsed="false">
      <c r="A29" s="9" t="n">
        <v>28</v>
      </c>
      <c r="B29" s="10" t="s">
        <v>87</v>
      </c>
      <c r="C29" s="9" t="s">
        <v>67</v>
      </c>
      <c r="D29" s="11" t="s">
        <v>88</v>
      </c>
      <c r="E29" s="11" t="s">
        <v>14</v>
      </c>
      <c r="F29" s="11" t="s">
        <v>23</v>
      </c>
      <c r="G29" s="12" t="n">
        <f aca="false">INDEX(Drops!$E$14:$E$17,MATCH(C29,Drops!$A$14:$A$17,0))</f>
        <v>2.2</v>
      </c>
      <c r="H29" s="13" t="n">
        <f aca="false">INDEX(Drops!$C$14:$C$17,MATCH(C29,Drops!$A$14:$A$17,0))</f>
        <v>0.0625</v>
      </c>
      <c r="I29" s="14" t="n">
        <f aca="false">INDEX(Drops!$D$14:$D$17,MATCH(C29,Drops!$A$14:$A$17,0))</f>
        <v>0.02</v>
      </c>
      <c r="J29" s="12" t="n">
        <f aca="false">Audit!I29</f>
        <v>21.8181818181818</v>
      </c>
      <c r="K29" s="15" t="n">
        <f aca="false">Audit!L29</f>
        <v>0.991735537190083</v>
      </c>
    </row>
    <row r="30" customFormat="false" ht="15" hidden="false" customHeight="false" outlineLevel="0" collapsed="false">
      <c r="A30" s="9" t="n">
        <v>29</v>
      </c>
      <c r="B30" s="10" t="s">
        <v>89</v>
      </c>
      <c r="C30" s="9" t="s">
        <v>67</v>
      </c>
      <c r="D30" s="11" t="s">
        <v>90</v>
      </c>
      <c r="E30" s="11" t="s">
        <v>91</v>
      </c>
      <c r="F30" s="11" t="s">
        <v>23</v>
      </c>
      <c r="G30" s="12" t="n">
        <f aca="false">INDEX(Drops!$E$14:$E$17,MATCH(C30,Drops!$A$14:$A$17,0))</f>
        <v>2.2</v>
      </c>
      <c r="H30" s="13" t="n">
        <f aca="false">INDEX(Drops!$C$14:$C$17,MATCH(C30,Drops!$A$14:$A$17,0))</f>
        <v>0.0625</v>
      </c>
      <c r="I30" s="14" t="n">
        <f aca="false">INDEX(Drops!$D$14:$D$17,MATCH(C30,Drops!$A$14:$A$17,0))</f>
        <v>0.02</v>
      </c>
      <c r="J30" s="12" t="n">
        <f aca="false">Audit!I30</f>
        <v>22.4</v>
      </c>
      <c r="K30" s="15" t="n">
        <f aca="false">Audit!L30</f>
        <v>1.01818181818182</v>
      </c>
    </row>
    <row r="31" customFormat="false" ht="15" hidden="false" customHeight="false" outlineLevel="0" collapsed="false">
      <c r="A31" s="9" t="n">
        <v>30</v>
      </c>
      <c r="B31" s="10" t="s">
        <v>92</v>
      </c>
      <c r="C31" s="9" t="s">
        <v>67</v>
      </c>
      <c r="D31" s="11" t="s">
        <v>93</v>
      </c>
      <c r="E31" s="11" t="s">
        <v>14</v>
      </c>
      <c r="F31" s="11" t="s">
        <v>94</v>
      </c>
      <c r="G31" s="12" t="n">
        <f aca="false">INDEX(Drops!$E$14:$E$17,MATCH(C31,Drops!$A$14:$A$17,0))</f>
        <v>2.2</v>
      </c>
      <c r="H31" s="13" t="n">
        <f aca="false">INDEX(Drops!$C$14:$C$17,MATCH(C31,Drops!$A$14:$A$17,0))</f>
        <v>0.0625</v>
      </c>
      <c r="I31" s="14" t="n">
        <f aca="false">INDEX(Drops!$D$14:$D$17,MATCH(C31,Drops!$A$14:$A$17,0))</f>
        <v>0.02</v>
      </c>
      <c r="J31" s="12" t="n">
        <f aca="false">Audit!I31</f>
        <v>21</v>
      </c>
      <c r="K31" s="15" t="n">
        <f aca="false">Audit!L31</f>
        <v>0.954545454545455</v>
      </c>
    </row>
    <row r="32" customFormat="false" ht="15" hidden="false" customHeight="false" outlineLevel="0" collapsed="false">
      <c r="A32" s="9" t="n">
        <v>31</v>
      </c>
      <c r="B32" s="10" t="s">
        <v>95</v>
      </c>
      <c r="C32" s="9" t="s">
        <v>67</v>
      </c>
      <c r="D32" s="11" t="s">
        <v>96</v>
      </c>
      <c r="E32" s="11" t="s">
        <v>14</v>
      </c>
      <c r="F32" s="11" t="s">
        <v>97</v>
      </c>
      <c r="G32" s="12" t="n">
        <f aca="false">INDEX(Drops!$E$14:$E$17,MATCH(C32,Drops!$A$14:$A$17,0))</f>
        <v>2.2</v>
      </c>
      <c r="H32" s="13" t="n">
        <f aca="false">INDEX(Drops!$C$14:$C$17,MATCH(C32,Drops!$A$14:$A$17,0))</f>
        <v>0.0625</v>
      </c>
      <c r="I32" s="14" t="n">
        <f aca="false">INDEX(Drops!$D$14:$D$17,MATCH(C32,Drops!$A$14:$A$17,0))</f>
        <v>0.02</v>
      </c>
      <c r="J32" s="12" t="n">
        <f aca="false">Audit!I32</f>
        <v>22.5</v>
      </c>
      <c r="K32" s="15" t="n">
        <f aca="false">Audit!L32</f>
        <v>1.02272727272727</v>
      </c>
    </row>
    <row r="33" customFormat="false" ht="15" hidden="false" customHeight="false" outlineLevel="0" collapsed="false">
      <c r="A33" s="9" t="n">
        <v>32</v>
      </c>
      <c r="B33" s="10" t="s">
        <v>98</v>
      </c>
      <c r="C33" s="9" t="s">
        <v>67</v>
      </c>
      <c r="D33" s="11" t="s">
        <v>99</v>
      </c>
      <c r="E33" s="11" t="s">
        <v>14</v>
      </c>
      <c r="F33" s="11" t="s">
        <v>65</v>
      </c>
      <c r="G33" s="12" t="n">
        <f aca="false">INDEX(Drops!$E$14:$E$17,MATCH(C33,Drops!$A$14:$A$17,0))</f>
        <v>2.2</v>
      </c>
      <c r="H33" s="13" t="n">
        <f aca="false">INDEX(Drops!$C$14:$C$17,MATCH(C33,Drops!$A$14:$A$17,0))</f>
        <v>0.0625</v>
      </c>
      <c r="I33" s="14" t="n">
        <f aca="false">INDEX(Drops!$D$14:$D$17,MATCH(C33,Drops!$A$14:$A$17,0))</f>
        <v>0.02</v>
      </c>
      <c r="J33" s="12" t="n">
        <f aca="false">Audit!I33</f>
        <v>20.472972972973</v>
      </c>
      <c r="K33" s="15" t="n">
        <f aca="false">Audit!L33</f>
        <v>0.930589680589681</v>
      </c>
    </row>
    <row r="34" customFormat="false" ht="23.85" hidden="false" customHeight="false" outlineLevel="0" collapsed="false">
      <c r="A34" s="9" t="n">
        <v>33</v>
      </c>
      <c r="B34" s="10" t="s">
        <v>100</v>
      </c>
      <c r="C34" s="9" t="s">
        <v>67</v>
      </c>
      <c r="D34" s="11" t="s">
        <v>101</v>
      </c>
      <c r="E34" s="11" t="s">
        <v>14</v>
      </c>
      <c r="F34" s="11" t="s">
        <v>102</v>
      </c>
      <c r="G34" s="12" t="n">
        <f aca="false">INDEX(Drops!$E$14:$E$17,MATCH(C34,Drops!$A$14:$A$17,0))</f>
        <v>2.2</v>
      </c>
      <c r="H34" s="13" t="n">
        <f aca="false">INDEX(Drops!$C$14:$C$17,MATCH(C34,Drops!$A$14:$A$17,0))</f>
        <v>0.0625</v>
      </c>
      <c r="I34" s="14" t="n">
        <f aca="false">INDEX(Drops!$D$14:$D$17,MATCH(C34,Drops!$A$14:$A$17,0))</f>
        <v>0.02</v>
      </c>
      <c r="J34" s="12" t="n">
        <f aca="false">Audit!I34</f>
        <v>24.2162162162162</v>
      </c>
      <c r="K34" s="15" t="n">
        <f aca="false">Audit!L34</f>
        <v>1.1007371007371</v>
      </c>
    </row>
    <row r="35" customFormat="false" ht="23.85" hidden="false" customHeight="false" outlineLevel="0" collapsed="false">
      <c r="A35" s="16" t="n">
        <v>34</v>
      </c>
      <c r="B35" s="17" t="s">
        <v>103</v>
      </c>
      <c r="C35" s="16" t="s">
        <v>104</v>
      </c>
      <c r="D35" s="18" t="s">
        <v>105</v>
      </c>
      <c r="E35" s="18" t="s">
        <v>14</v>
      </c>
      <c r="F35" s="18" t="s">
        <v>106</v>
      </c>
      <c r="G35" s="19" t="n">
        <f aca="false">INDEX(Drops!$E$14:$E$17,MATCH(C35,Drops!$A$14:$A$17,0))</f>
        <v>5</v>
      </c>
      <c r="H35" s="20" t="n">
        <f aca="false">INDEX(Drops!$C$14:$C$17,MATCH(C35,Drops!$A$14:$A$17,0))</f>
        <v>0.0909090909090909</v>
      </c>
      <c r="I35" s="21" t="n">
        <f aca="false">INDEX(Drops!$D$14:$D$17,MATCH(C35,Drops!$A$14:$A$17,0))</f>
        <v>0.00636363636363637</v>
      </c>
      <c r="J35" s="19" t="n">
        <f aca="false">Audit!I35</f>
        <v>51</v>
      </c>
      <c r="K35" s="22" t="n">
        <f aca="false">Audit!L35</f>
        <v>1.02</v>
      </c>
    </row>
    <row r="36" customFormat="false" ht="23.85" hidden="false" customHeight="false" outlineLevel="0" collapsed="false">
      <c r="A36" s="16" t="n">
        <v>35</v>
      </c>
      <c r="B36" s="17" t="s">
        <v>107</v>
      </c>
      <c r="C36" s="16" t="s">
        <v>104</v>
      </c>
      <c r="D36" s="18" t="s">
        <v>108</v>
      </c>
      <c r="E36" s="18" t="s">
        <v>18</v>
      </c>
      <c r="F36" s="18" t="s">
        <v>19</v>
      </c>
      <c r="G36" s="19" t="n">
        <f aca="false">INDEX(Drops!$E$14:$E$17,MATCH(C36,Drops!$A$14:$A$17,0))</f>
        <v>5</v>
      </c>
      <c r="H36" s="20" t="n">
        <f aca="false">INDEX(Drops!$C$14:$C$17,MATCH(C36,Drops!$A$14:$A$17,0))</f>
        <v>0.0909090909090909</v>
      </c>
      <c r="I36" s="21" t="n">
        <f aca="false">INDEX(Drops!$D$14:$D$17,MATCH(C36,Drops!$A$14:$A$17,0))</f>
        <v>0.00636363636363637</v>
      </c>
      <c r="J36" s="19" t="n">
        <f aca="false">Audit!I36</f>
        <v>47.9594594594595</v>
      </c>
      <c r="K36" s="22" t="n">
        <f aca="false">Audit!L36</f>
        <v>0.959189189189189</v>
      </c>
    </row>
    <row r="37" customFormat="false" ht="15" hidden="false" customHeight="false" outlineLevel="0" collapsed="false">
      <c r="A37" s="16" t="n">
        <v>36</v>
      </c>
      <c r="B37" s="17" t="s">
        <v>109</v>
      </c>
      <c r="C37" s="16" t="s">
        <v>104</v>
      </c>
      <c r="D37" s="18" t="s">
        <v>110</v>
      </c>
      <c r="E37" s="18" t="s">
        <v>14</v>
      </c>
      <c r="F37" s="18" t="s">
        <v>111</v>
      </c>
      <c r="G37" s="19" t="n">
        <f aca="false">INDEX(Drops!$E$14:$E$17,MATCH(C37,Drops!$A$14:$A$17,0))</f>
        <v>5</v>
      </c>
      <c r="H37" s="20" t="n">
        <f aca="false">INDEX(Drops!$C$14:$C$17,MATCH(C37,Drops!$A$14:$A$17,0))</f>
        <v>0.0909090909090909</v>
      </c>
      <c r="I37" s="21" t="n">
        <f aca="false">INDEX(Drops!$D$14:$D$17,MATCH(C37,Drops!$A$14:$A$17,0))</f>
        <v>0.00636363636363637</v>
      </c>
      <c r="J37" s="19" t="n">
        <f aca="false">Audit!I37</f>
        <v>48</v>
      </c>
      <c r="K37" s="22" t="n">
        <f aca="false">Audit!L37</f>
        <v>0.96</v>
      </c>
    </row>
    <row r="38" customFormat="false" ht="15" hidden="false" customHeight="false" outlineLevel="0" collapsed="false">
      <c r="A38" s="16" t="n">
        <v>37</v>
      </c>
      <c r="B38" s="17" t="s">
        <v>112</v>
      </c>
      <c r="C38" s="16" t="s">
        <v>104</v>
      </c>
      <c r="D38" s="18" t="s">
        <v>113</v>
      </c>
      <c r="E38" s="18" t="s">
        <v>14</v>
      </c>
      <c r="F38" s="18" t="s">
        <v>48</v>
      </c>
      <c r="G38" s="19" t="n">
        <f aca="false">INDEX(Drops!$E$14:$E$17,MATCH(C38,Drops!$A$14:$A$17,0))</f>
        <v>5</v>
      </c>
      <c r="H38" s="20" t="n">
        <f aca="false">INDEX(Drops!$C$14:$C$17,MATCH(C38,Drops!$A$14:$A$17,0))</f>
        <v>0.0909090909090909</v>
      </c>
      <c r="I38" s="21" t="n">
        <f aca="false">INDEX(Drops!$D$14:$D$17,MATCH(C38,Drops!$A$14:$A$17,0))</f>
        <v>0.00636363636363637</v>
      </c>
      <c r="J38" s="19" t="n">
        <f aca="false">Audit!I38</f>
        <v>48.75</v>
      </c>
      <c r="K38" s="22" t="n">
        <f aca="false">Audit!L38</f>
        <v>0.975</v>
      </c>
    </row>
    <row r="39" customFormat="false" ht="23.85" hidden="false" customHeight="false" outlineLevel="0" collapsed="false">
      <c r="A39" s="16" t="n">
        <v>38</v>
      </c>
      <c r="B39" s="17" t="s">
        <v>114</v>
      </c>
      <c r="C39" s="16" t="s">
        <v>104</v>
      </c>
      <c r="D39" s="18" t="s">
        <v>115</v>
      </c>
      <c r="E39" s="18" t="s">
        <v>116</v>
      </c>
      <c r="F39" s="18" t="s">
        <v>117</v>
      </c>
      <c r="G39" s="19" t="n">
        <f aca="false">INDEX(Drops!$E$14:$E$17,MATCH(C39,Drops!$A$14:$A$17,0))</f>
        <v>5</v>
      </c>
      <c r="H39" s="20" t="n">
        <f aca="false">INDEX(Drops!$C$14:$C$17,MATCH(C39,Drops!$A$14:$A$17,0))</f>
        <v>0.0909090909090909</v>
      </c>
      <c r="I39" s="21" t="n">
        <f aca="false">INDEX(Drops!$D$14:$D$17,MATCH(C39,Drops!$A$14:$A$17,0))</f>
        <v>0.00636363636363637</v>
      </c>
      <c r="J39" s="19" t="n">
        <f aca="false">Audit!I39</f>
        <v>45</v>
      </c>
      <c r="K39" s="22" t="n">
        <f aca="false">Audit!L39</f>
        <v>0.9</v>
      </c>
    </row>
    <row r="40" customFormat="false" ht="15" hidden="false" customHeight="false" outlineLevel="0" collapsed="false">
      <c r="A40" s="16" t="n">
        <v>39</v>
      </c>
      <c r="B40" s="17" t="s">
        <v>118</v>
      </c>
      <c r="C40" s="16" t="s">
        <v>104</v>
      </c>
      <c r="D40" s="18" t="s">
        <v>119</v>
      </c>
      <c r="E40" s="18" t="s">
        <v>120</v>
      </c>
      <c r="F40" s="18" t="s">
        <v>15</v>
      </c>
      <c r="G40" s="19" t="n">
        <f aca="false">INDEX(Drops!$E$14:$E$17,MATCH(C40,Drops!$A$14:$A$17,0))</f>
        <v>5</v>
      </c>
      <c r="H40" s="20" t="n">
        <f aca="false">INDEX(Drops!$C$14:$C$17,MATCH(C40,Drops!$A$14:$A$17,0))</f>
        <v>0.0909090909090909</v>
      </c>
      <c r="I40" s="21" t="n">
        <f aca="false">INDEX(Drops!$D$14:$D$17,MATCH(C40,Drops!$A$14:$A$17,0))</f>
        <v>0.00636363636363637</v>
      </c>
      <c r="J40" s="19" t="n">
        <f aca="false">Audit!I40</f>
        <v>52.3809523809524</v>
      </c>
      <c r="K40" s="22" t="n">
        <f aca="false">Audit!L40</f>
        <v>1.04761904761905</v>
      </c>
    </row>
    <row r="41" customFormat="false" ht="23.85" hidden="false" customHeight="false" outlineLevel="0" collapsed="false">
      <c r="A41" s="16" t="n">
        <v>40</v>
      </c>
      <c r="B41" s="17" t="s">
        <v>121</v>
      </c>
      <c r="C41" s="16" t="s">
        <v>104</v>
      </c>
      <c r="D41" s="18" t="s">
        <v>122</v>
      </c>
      <c r="E41" s="18" t="s">
        <v>123</v>
      </c>
      <c r="F41" s="18" t="s">
        <v>23</v>
      </c>
      <c r="G41" s="19" t="n">
        <f aca="false">INDEX(Drops!$E$14:$E$17,MATCH(C41,Drops!$A$14:$A$17,0))</f>
        <v>5</v>
      </c>
      <c r="H41" s="20" t="n">
        <f aca="false">INDEX(Drops!$C$14:$C$17,MATCH(C41,Drops!$A$14:$A$17,0))</f>
        <v>0.0909090909090909</v>
      </c>
      <c r="I41" s="21" t="n">
        <f aca="false">INDEX(Drops!$D$14:$D$17,MATCH(C41,Drops!$A$14:$A$17,0))</f>
        <v>0.00636363636363637</v>
      </c>
      <c r="J41" s="19" t="n">
        <f aca="false">Audit!I41</f>
        <v>44.08151466975</v>
      </c>
      <c r="K41" s="22" t="n">
        <f aca="false">Audit!L41</f>
        <v>0.881630293394999</v>
      </c>
    </row>
    <row r="42" customFormat="false" ht="23.85" hidden="false" customHeight="false" outlineLevel="0" collapsed="false">
      <c r="A42" s="16" t="n">
        <v>41</v>
      </c>
      <c r="B42" s="17" t="s">
        <v>124</v>
      </c>
      <c r="C42" s="16" t="s">
        <v>104</v>
      </c>
      <c r="D42" s="18" t="s">
        <v>125</v>
      </c>
      <c r="E42" s="18" t="s">
        <v>126</v>
      </c>
      <c r="F42" s="18" t="s">
        <v>127</v>
      </c>
      <c r="G42" s="19" t="n">
        <f aca="false">INDEX(Drops!$E$14:$E$17,MATCH(C42,Drops!$A$14:$A$17,0))</f>
        <v>5</v>
      </c>
      <c r="H42" s="20" t="n">
        <f aca="false">INDEX(Drops!$C$14:$C$17,MATCH(C42,Drops!$A$14:$A$17,0))</f>
        <v>0.0909090909090909</v>
      </c>
      <c r="I42" s="21" t="n">
        <f aca="false">INDEX(Drops!$D$14:$D$17,MATCH(C42,Drops!$A$14:$A$17,0))</f>
        <v>0.00636363636363637</v>
      </c>
      <c r="J42" s="19" t="n">
        <f aca="false">Audit!I42</f>
        <v>58.6542000000001</v>
      </c>
      <c r="K42" s="22" t="n">
        <f aca="false">Audit!L42</f>
        <v>1.173084</v>
      </c>
    </row>
    <row r="43" customFormat="false" ht="15" hidden="false" customHeight="false" outlineLevel="0" collapsed="false">
      <c r="A43" s="16" t="n">
        <v>42</v>
      </c>
      <c r="B43" s="17" t="s">
        <v>128</v>
      </c>
      <c r="C43" s="16" t="s">
        <v>104</v>
      </c>
      <c r="D43" s="18" t="s">
        <v>129</v>
      </c>
      <c r="E43" s="18" t="s">
        <v>14</v>
      </c>
      <c r="F43" s="18" t="s">
        <v>27</v>
      </c>
      <c r="G43" s="19" t="n">
        <f aca="false">INDEX(Drops!$E$14:$E$17,MATCH(C43,Drops!$A$14:$A$17,0))</f>
        <v>5</v>
      </c>
      <c r="H43" s="20" t="n">
        <f aca="false">INDEX(Drops!$C$14:$C$17,MATCH(C43,Drops!$A$14:$A$17,0))</f>
        <v>0.0909090909090909</v>
      </c>
      <c r="I43" s="21" t="n">
        <f aca="false">INDEX(Drops!$D$14:$D$17,MATCH(C43,Drops!$A$14:$A$17,0))</f>
        <v>0.00636363636363637</v>
      </c>
      <c r="J43" s="19" t="n">
        <f aca="false">Audit!I43</f>
        <v>48.75</v>
      </c>
      <c r="K43" s="22" t="n">
        <f aca="false">Audit!L43</f>
        <v>0.975</v>
      </c>
    </row>
    <row r="44" customFormat="false" ht="15" hidden="false" customHeight="false" outlineLevel="0" collapsed="false">
      <c r="A44" s="16" t="n">
        <v>43</v>
      </c>
      <c r="B44" s="17" t="s">
        <v>130</v>
      </c>
      <c r="C44" s="16" t="s">
        <v>104</v>
      </c>
      <c r="D44" s="18" t="s">
        <v>131</v>
      </c>
      <c r="E44" s="18" t="s">
        <v>14</v>
      </c>
      <c r="F44" s="18" t="s">
        <v>23</v>
      </c>
      <c r="G44" s="19" t="n">
        <f aca="false">INDEX(Drops!$E$14:$E$17,MATCH(C44,Drops!$A$14:$A$17,0))</f>
        <v>5</v>
      </c>
      <c r="H44" s="20" t="n">
        <f aca="false">INDEX(Drops!$C$14:$C$17,MATCH(C44,Drops!$A$14:$A$17,0))</f>
        <v>0.0909090909090909</v>
      </c>
      <c r="I44" s="21" t="n">
        <f aca="false">INDEX(Drops!$D$14:$D$17,MATCH(C44,Drops!$A$14:$A$17,0))</f>
        <v>0.00636363636363637</v>
      </c>
      <c r="J44" s="19" t="n">
        <f aca="false">Audit!I44</f>
        <v>50</v>
      </c>
      <c r="K44" s="22" t="n">
        <f aca="false">Audit!L44</f>
        <v>1</v>
      </c>
    </row>
    <row r="45" customFormat="false" ht="15" hidden="false" customHeight="false" outlineLevel="0" collapsed="false">
      <c r="A45" s="16" t="n">
        <v>44</v>
      </c>
      <c r="B45" s="17" t="s">
        <v>132</v>
      </c>
      <c r="C45" s="16" t="s">
        <v>104</v>
      </c>
      <c r="D45" s="18" t="s">
        <v>133</v>
      </c>
      <c r="E45" s="18" t="s">
        <v>120</v>
      </c>
      <c r="F45" s="18" t="s">
        <v>65</v>
      </c>
      <c r="G45" s="19" t="n">
        <f aca="false">INDEX(Drops!$E$14:$E$17,MATCH(C45,Drops!$A$14:$A$17,0))</f>
        <v>5</v>
      </c>
      <c r="H45" s="20" t="n">
        <f aca="false">INDEX(Drops!$C$14:$C$17,MATCH(C45,Drops!$A$14:$A$17,0))</f>
        <v>0.0909090909090909</v>
      </c>
      <c r="I45" s="21" t="n">
        <f aca="false">INDEX(Drops!$D$14:$D$17,MATCH(C45,Drops!$A$14:$A$17,0))</f>
        <v>0.00636363636363637</v>
      </c>
      <c r="J45" s="19" t="n">
        <f aca="false">Audit!I45</f>
        <v>47.5675675675676</v>
      </c>
      <c r="K45" s="22" t="n">
        <f aca="false">Audit!L45</f>
        <v>0.951351351351351</v>
      </c>
    </row>
    <row r="46" customFormat="false" ht="15" hidden="false" customHeight="false" outlineLevel="0" collapsed="false">
      <c r="A46" s="23" t="n">
        <v>45</v>
      </c>
      <c r="B46" s="24" t="s">
        <v>134</v>
      </c>
      <c r="C46" s="23" t="s">
        <v>135</v>
      </c>
      <c r="D46" s="25" t="s">
        <v>136</v>
      </c>
      <c r="E46" s="25" t="s">
        <v>116</v>
      </c>
      <c r="F46" s="25" t="s">
        <v>19</v>
      </c>
      <c r="G46" s="26" t="n">
        <f aca="false">INDEX(Drops!$E$14:$E$17,MATCH(C46,Drops!$A$14:$A$17,0))</f>
        <v>12</v>
      </c>
      <c r="H46" s="27" t="n">
        <f aca="false">INDEX(Drops!$C$14:$C$17,MATCH(C46,Drops!$A$14:$A$17,0))</f>
        <v>0.166666666666667</v>
      </c>
      <c r="I46" s="28" t="n">
        <f aca="false">INDEX(Drops!$D$14:$D$17,MATCH(C46,Drops!$A$14:$A$17,0))</f>
        <v>0.00166666666666667</v>
      </c>
      <c r="J46" s="26" t="n">
        <f aca="false">Audit!I46</f>
        <v>104.054054054054</v>
      </c>
      <c r="K46" s="29" t="n">
        <f aca="false">Audit!L46</f>
        <v>0.867117117117117</v>
      </c>
    </row>
    <row r="47" customFormat="false" ht="35.05" hidden="false" customHeight="false" outlineLevel="0" collapsed="false">
      <c r="A47" s="23" t="n">
        <v>46</v>
      </c>
      <c r="B47" s="24" t="s">
        <v>137</v>
      </c>
      <c r="C47" s="23" t="s">
        <v>135</v>
      </c>
      <c r="D47" s="25" t="s">
        <v>138</v>
      </c>
      <c r="E47" s="25" t="s">
        <v>139</v>
      </c>
      <c r="F47" s="25" t="s">
        <v>41</v>
      </c>
      <c r="G47" s="26" t="n">
        <f aca="false">INDEX(Drops!$E$14:$E$17,MATCH(C47,Drops!$A$14:$A$17,0))</f>
        <v>12</v>
      </c>
      <c r="H47" s="27" t="n">
        <f aca="false">INDEX(Drops!$C$14:$C$17,MATCH(C47,Drops!$A$14:$A$17,0))</f>
        <v>0.166666666666667</v>
      </c>
      <c r="I47" s="28" t="n">
        <f aca="false">INDEX(Drops!$D$14:$D$17,MATCH(C47,Drops!$A$14:$A$17,0))</f>
        <v>0.00166666666666667</v>
      </c>
      <c r="J47" s="26" t="n">
        <f aca="false">Audit!I47</f>
        <v>129.72972972973</v>
      </c>
      <c r="K47" s="29" t="n">
        <f aca="false">Audit!L47</f>
        <v>1.08108108108108</v>
      </c>
    </row>
    <row r="48" customFormat="false" ht="23.85" hidden="false" customHeight="false" outlineLevel="0" collapsed="false">
      <c r="A48" s="23" t="n">
        <v>47</v>
      </c>
      <c r="B48" s="24" t="s">
        <v>140</v>
      </c>
      <c r="C48" s="23" t="s">
        <v>135</v>
      </c>
      <c r="D48" s="25" t="s">
        <v>141</v>
      </c>
      <c r="E48" s="25" t="s">
        <v>142</v>
      </c>
      <c r="F48" s="25" t="s">
        <v>143</v>
      </c>
      <c r="G48" s="26" t="n">
        <f aca="false">INDEX(Drops!$E$14:$E$17,MATCH(C48,Drops!$A$14:$A$17,0))</f>
        <v>12</v>
      </c>
      <c r="H48" s="27" t="n">
        <f aca="false">INDEX(Drops!$C$14:$C$17,MATCH(C48,Drops!$A$14:$A$17,0))</f>
        <v>0.166666666666667</v>
      </c>
      <c r="I48" s="28" t="n">
        <f aca="false">INDEX(Drops!$D$14:$D$17,MATCH(C48,Drops!$A$14:$A$17,0))</f>
        <v>0.00166666666666667</v>
      </c>
      <c r="J48" s="26" t="n">
        <f aca="false">Audit!I48</f>
        <v>111.081081081081</v>
      </c>
      <c r="K48" s="29" t="n">
        <f aca="false">Audit!L48</f>
        <v>0.925675675675676</v>
      </c>
    </row>
    <row r="49" customFormat="false" ht="15" hidden="false" customHeight="false" outlineLevel="0" collapsed="false">
      <c r="A49" s="23" t="n">
        <v>48</v>
      </c>
      <c r="B49" s="24" t="s">
        <v>144</v>
      </c>
      <c r="C49" s="23" t="s">
        <v>135</v>
      </c>
      <c r="D49" s="25" t="s">
        <v>145</v>
      </c>
      <c r="E49" s="25" t="s">
        <v>146</v>
      </c>
      <c r="F49" s="25" t="s">
        <v>23</v>
      </c>
      <c r="G49" s="26" t="n">
        <f aca="false">INDEX(Drops!$E$14:$E$17,MATCH(C49,Drops!$A$14:$A$17,0))</f>
        <v>12</v>
      </c>
      <c r="H49" s="27" t="n">
        <f aca="false">INDEX(Drops!$C$14:$C$17,MATCH(C49,Drops!$A$14:$A$17,0))</f>
        <v>0.166666666666667</v>
      </c>
      <c r="I49" s="28" t="n">
        <f aca="false">INDEX(Drops!$D$14:$D$17,MATCH(C49,Drops!$A$14:$A$17,0))</f>
        <v>0.00166666666666667</v>
      </c>
      <c r="J49" s="26" t="n">
        <f aca="false">Audit!I49</f>
        <v>103.333333333333</v>
      </c>
      <c r="K49" s="29" t="n">
        <f aca="false">Audit!L49</f>
        <v>0.861111111111111</v>
      </c>
    </row>
    <row r="50" customFormat="false" ht="23.85" hidden="false" customHeight="false" outlineLevel="0" collapsed="false">
      <c r="A50" s="23" t="n">
        <v>49</v>
      </c>
      <c r="B50" s="24" t="s">
        <v>147</v>
      </c>
      <c r="C50" s="23" t="s">
        <v>135</v>
      </c>
      <c r="D50" s="25" t="s">
        <v>148</v>
      </c>
      <c r="E50" s="25" t="s">
        <v>149</v>
      </c>
      <c r="F50" s="25" t="s">
        <v>30</v>
      </c>
      <c r="G50" s="26" t="n">
        <f aca="false">INDEX(Drops!$E$14:$E$17,MATCH(C50,Drops!$A$14:$A$17,0))</f>
        <v>12</v>
      </c>
      <c r="H50" s="27" t="n">
        <f aca="false">INDEX(Drops!$C$14:$C$17,MATCH(C50,Drops!$A$14:$A$17,0))</f>
        <v>0.166666666666667</v>
      </c>
      <c r="I50" s="28" t="n">
        <f aca="false">INDEX(Drops!$D$14:$D$17,MATCH(C50,Drops!$A$14:$A$17,0))</f>
        <v>0.00166666666666667</v>
      </c>
      <c r="J50" s="26" t="n">
        <f aca="false">Audit!I50</f>
        <v>120</v>
      </c>
      <c r="K50" s="29" t="n">
        <f aca="false">Audit!L50</f>
        <v>1</v>
      </c>
    </row>
    <row r="51" customFormat="false" ht="23.85" hidden="false" customHeight="false" outlineLevel="0" collapsed="false">
      <c r="A51" s="23" t="n">
        <v>50</v>
      </c>
      <c r="B51" s="24" t="s">
        <v>150</v>
      </c>
      <c r="C51" s="23" t="s">
        <v>135</v>
      </c>
      <c r="D51" s="25" t="s">
        <v>151</v>
      </c>
      <c r="E51" s="25" t="s">
        <v>14</v>
      </c>
      <c r="F51" s="25" t="s">
        <v>152</v>
      </c>
      <c r="G51" s="26" t="n">
        <f aca="false">INDEX(Drops!$E$14:$E$17,MATCH(C51,Drops!$A$14:$A$17,0))</f>
        <v>12</v>
      </c>
      <c r="H51" s="27" t="n">
        <f aca="false">INDEX(Drops!$C$14:$C$17,MATCH(C51,Drops!$A$14:$A$17,0))</f>
        <v>0.166666666666667</v>
      </c>
      <c r="I51" s="28" t="n">
        <f aca="false">INDEX(Drops!$D$14:$D$17,MATCH(C51,Drops!$A$14:$A$17,0))</f>
        <v>0.00166666666666667</v>
      </c>
      <c r="J51" s="26" t="n">
        <f aca="false">Audit!I51</f>
        <v>125.63668778</v>
      </c>
      <c r="K51" s="29" t="n">
        <f aca="false">Audit!L51</f>
        <v>1.04697239816667</v>
      </c>
    </row>
  </sheetData>
  <autoFilter ref="A1:K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6" min="4" style="0" width="9"/>
    <col collapsed="false" customWidth="true" hidden="false" outlineLevel="0" max="7" min="7" style="0" width="58"/>
    <col collapsed="false" customWidth="true" hidden="false" outlineLevel="0" max="11" min="8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1"/>
  </cols>
  <sheetData>
    <row r="1" customFormat="false" ht="39.75" hidden="false" customHeight="true" outlineLevel="0" collapsed="false">
      <c r="A1" s="1" t="s">
        <v>0</v>
      </c>
      <c r="B1" s="1" t="s">
        <v>153</v>
      </c>
      <c r="C1" s="1" t="s">
        <v>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customFormat="false" ht="15" hidden="false" customHeight="false" outlineLevel="0" collapsed="false">
      <c r="A2" s="2" t="n">
        <v>1</v>
      </c>
      <c r="B2" s="30" t="s">
        <v>11</v>
      </c>
      <c r="C2" s="2" t="s">
        <v>12</v>
      </c>
      <c r="D2" s="31" t="n">
        <v>0.1</v>
      </c>
      <c r="E2" s="31" t="n">
        <v>2</v>
      </c>
      <c r="F2" s="2"/>
      <c r="G2" s="32" t="s">
        <v>165</v>
      </c>
      <c r="H2" s="5" t="n">
        <f aca="false">100*((1+(Modèle!$C$14+$D2)*($E2-1))/(1+Modèle!$C$14*(Modèle!$C$15-1))-1)</f>
        <v>9.52380952380951</v>
      </c>
      <c r="I2" s="5" t="n">
        <f aca="false">100*((1+(Modèle!$D$14+$D2)*($E2-1))/(1+Modèle!$D$14*(Modèle!$D$15-1))-1)</f>
        <v>9.52380952380951</v>
      </c>
      <c r="J2" s="5" t="n">
        <f aca="false">100*((1+(Modèle!$E$14+$D2)*($E2-1))/(1+Modèle!$E$14*(Modèle!$E$15-1))-1)</f>
        <v>9.52380952380951</v>
      </c>
      <c r="K2" s="33" t="n">
        <f aca="false">Modèle!$D$2*INDEX(Drops!$E$14:$E$17,MATCH(C2,Drops!$A$14:$A$17,0))</f>
        <v>10</v>
      </c>
      <c r="L2" s="8" t="n">
        <f aca="false">I2/K2</f>
        <v>0.952380952380951</v>
      </c>
      <c r="M2" s="8" t="n">
        <f aca="false">J2/H2</f>
        <v>1</v>
      </c>
      <c r="N2" s="2" t="str">
        <f aca="false">IF(ABS(L2-1)&gt;0.2,IF(L2&lt;0.8,"Faible","Fort"),IF(OR(M2&lt;0.67,M2&gt;1.5),"Dérive","OK"))</f>
        <v>OK</v>
      </c>
    </row>
    <row r="3" customFormat="false" ht="15" hidden="false" customHeight="false" outlineLevel="0" collapsed="false">
      <c r="A3" s="2" t="n">
        <v>2</v>
      </c>
      <c r="B3" s="30" t="s">
        <v>16</v>
      </c>
      <c r="C3" s="2" t="s">
        <v>12</v>
      </c>
      <c r="D3" s="31" t="n">
        <v>0.18</v>
      </c>
      <c r="E3" s="2"/>
      <c r="F3" s="2"/>
      <c r="G3" s="32" t="s">
        <v>166</v>
      </c>
      <c r="H3" s="5" t="n">
        <f aca="false">100*$D3*Modèle!$C$9</f>
        <v>10.2162162162162</v>
      </c>
      <c r="I3" s="5" t="n">
        <f aca="false">100*$D3*Modèle!$D$9</f>
        <v>10.2162162162162</v>
      </c>
      <c r="J3" s="5" t="n">
        <f aca="false">100*$D3*Modèle!$E$9</f>
        <v>10.2162162162162</v>
      </c>
      <c r="K3" s="33" t="n">
        <f aca="false">Modèle!$D$2*INDEX(Drops!$E$14:$E$17,MATCH(C3,Drops!$A$14:$A$17,0))</f>
        <v>10</v>
      </c>
      <c r="L3" s="8" t="n">
        <f aca="false">I3/K3</f>
        <v>1.02162162162162</v>
      </c>
      <c r="M3" s="8" t="n">
        <f aca="false">J3/H3</f>
        <v>1</v>
      </c>
      <c r="N3" s="2" t="str">
        <f aca="false">IF(ABS(L3-1)&gt;0.2,IF(L3&lt;0.8,"Faible","Fort"),IF(OR(M3&lt;0.67,M3&gt;1.5),"Dérive","OK"))</f>
        <v>OK</v>
      </c>
    </row>
    <row r="4" customFormat="false" ht="15" hidden="false" customHeight="false" outlineLevel="0" collapsed="false">
      <c r="A4" s="2" t="n">
        <v>3</v>
      </c>
      <c r="B4" s="30" t="s">
        <v>20</v>
      </c>
      <c r="C4" s="2" t="s">
        <v>12</v>
      </c>
      <c r="D4" s="31" t="n">
        <v>0.4</v>
      </c>
      <c r="E4" s="2"/>
      <c r="F4" s="2"/>
      <c r="G4" s="32" t="s">
        <v>167</v>
      </c>
      <c r="H4" s="5" t="n">
        <f aca="false">100*(1/(1-Modèle!$C$34*$D4)-1)</f>
        <v>11.1111111111111</v>
      </c>
      <c r="I4" s="5" t="n">
        <f aca="false">100*(1/(1-Modèle!$D$34*$D4)-1)</f>
        <v>11.1111111111111</v>
      </c>
      <c r="J4" s="5" t="n">
        <f aca="false">100*(1/(1-Modèle!$E$34*$D4)-1)</f>
        <v>11.1111111111111</v>
      </c>
      <c r="K4" s="33" t="n">
        <f aca="false">Modèle!$D$2*INDEX(Drops!$E$14:$E$17,MATCH(C4,Drops!$A$14:$A$17,0))</f>
        <v>10</v>
      </c>
      <c r="L4" s="8" t="n">
        <f aca="false">I4/K4</f>
        <v>1.11111111111111</v>
      </c>
      <c r="M4" s="8" t="n">
        <f aca="false">J4/H4</f>
        <v>1</v>
      </c>
      <c r="N4" s="2" t="str">
        <f aca="false">IF(ABS(L4-1)&gt;0.2,IF(L4&lt;0.8,"Faible","Fort"),IF(OR(M4&lt;0.67,M4&gt;1.5),"Dérive","OK"))</f>
        <v>OK</v>
      </c>
    </row>
    <row r="5" customFormat="false" ht="15" hidden="false" customHeight="false" outlineLevel="0" collapsed="false">
      <c r="A5" s="2" t="n">
        <v>4</v>
      </c>
      <c r="B5" s="30" t="s">
        <v>24</v>
      </c>
      <c r="C5" s="2" t="s">
        <v>12</v>
      </c>
      <c r="D5" s="31" t="n">
        <v>0.05</v>
      </c>
      <c r="E5" s="2"/>
      <c r="F5" s="2"/>
      <c r="G5" s="32" t="s">
        <v>168</v>
      </c>
      <c r="H5" s="5" t="n">
        <f aca="false">100*$D5*Modèle!$C$36</f>
        <v>10</v>
      </c>
      <c r="I5" s="5" t="n">
        <f aca="false">100*$D5*Modèle!$D$36</f>
        <v>10</v>
      </c>
      <c r="J5" s="5" t="n">
        <f aca="false">100*$D5*Modèle!$E$36</f>
        <v>10</v>
      </c>
      <c r="K5" s="33" t="n">
        <f aca="false">Modèle!$D$2*INDEX(Drops!$E$14:$E$17,MATCH(C5,Drops!$A$14:$A$17,0))</f>
        <v>10</v>
      </c>
      <c r="L5" s="8" t="n">
        <f aca="false">I5/K5</f>
        <v>1</v>
      </c>
      <c r="M5" s="8" t="n">
        <f aca="false">J5/H5</f>
        <v>1</v>
      </c>
      <c r="N5" s="2" t="str">
        <f aca="false">IF(ABS(L5-1)&gt;0.2,IF(L5&lt;0.8,"Faible","Fort"),IF(OR(M5&lt;0.67,M5&gt;1.5),"Dérive","OK"))</f>
        <v>OK</v>
      </c>
    </row>
    <row r="6" customFormat="false" ht="15" hidden="false" customHeight="false" outlineLevel="0" collapsed="false">
      <c r="A6" s="2" t="n">
        <v>5</v>
      </c>
      <c r="B6" s="30" t="s">
        <v>28</v>
      </c>
      <c r="C6" s="2" t="s">
        <v>12</v>
      </c>
      <c r="D6" s="31" t="n">
        <v>0.1</v>
      </c>
      <c r="E6" s="2"/>
      <c r="F6" s="2"/>
      <c r="G6" s="32" t="s">
        <v>169</v>
      </c>
      <c r="H6" s="5" t="n">
        <f aca="false">100*$D6</f>
        <v>10</v>
      </c>
      <c r="I6" s="5" t="n">
        <f aca="false">100*$D6</f>
        <v>10</v>
      </c>
      <c r="J6" s="5" t="n">
        <f aca="false">100*$D6</f>
        <v>10</v>
      </c>
      <c r="K6" s="33" t="n">
        <f aca="false">Modèle!$D$2*INDEX(Drops!$E$14:$E$17,MATCH(C6,Drops!$A$14:$A$17,0))</f>
        <v>10</v>
      </c>
      <c r="L6" s="8" t="n">
        <f aca="false">I6/K6</f>
        <v>1</v>
      </c>
      <c r="M6" s="8" t="n">
        <f aca="false">J6/H6</f>
        <v>1</v>
      </c>
      <c r="N6" s="2" t="str">
        <f aca="false">IF(ABS(L6-1)&gt;0.2,IF(L6&lt;0.8,"Faible","Fort"),IF(OR(M6&lt;0.67,M6&gt;1.5),"Dérive","OK"))</f>
        <v>OK</v>
      </c>
    </row>
    <row r="7" customFormat="false" ht="15" hidden="false" customHeight="false" outlineLevel="0" collapsed="false">
      <c r="A7" s="2" t="n">
        <v>6</v>
      </c>
      <c r="B7" s="30" t="s">
        <v>31</v>
      </c>
      <c r="C7" s="2" t="s">
        <v>12</v>
      </c>
      <c r="D7" s="31" t="n">
        <v>0.1</v>
      </c>
      <c r="E7" s="2"/>
      <c r="F7" s="2"/>
      <c r="G7" s="32" t="s">
        <v>170</v>
      </c>
      <c r="H7" s="5" t="n">
        <f aca="false">100*$D7</f>
        <v>10</v>
      </c>
      <c r="I7" s="5" t="n">
        <f aca="false">100*$D7</f>
        <v>10</v>
      </c>
      <c r="J7" s="5" t="n">
        <f aca="false">100*$D7</f>
        <v>10</v>
      </c>
      <c r="K7" s="33" t="n">
        <f aca="false">Modèle!$D$2*INDEX(Drops!$E$14:$E$17,MATCH(C7,Drops!$A$14:$A$17,0))</f>
        <v>10</v>
      </c>
      <c r="L7" s="8" t="n">
        <f aca="false">I7/K7</f>
        <v>1</v>
      </c>
      <c r="M7" s="8" t="n">
        <f aca="false">J7/H7</f>
        <v>1</v>
      </c>
      <c r="N7" s="2" t="str">
        <f aca="false">IF(ABS(L7-1)&gt;0.2,IF(L7&lt;0.8,"Faible","Fort"),IF(OR(M7&lt;0.67,M7&gt;1.5),"Dérive","OK"))</f>
        <v>OK</v>
      </c>
    </row>
    <row r="8" customFormat="false" ht="15" hidden="false" customHeight="false" outlineLevel="0" collapsed="false">
      <c r="A8" s="2" t="n">
        <v>7</v>
      </c>
      <c r="B8" s="30" t="s">
        <v>33</v>
      </c>
      <c r="C8" s="2" t="s">
        <v>12</v>
      </c>
      <c r="D8" s="31" t="n">
        <v>10</v>
      </c>
      <c r="E8" s="2"/>
      <c r="F8" s="2"/>
      <c r="G8" s="32" t="s">
        <v>171</v>
      </c>
      <c r="H8" s="5" t="n">
        <f aca="false">$D8</f>
        <v>10</v>
      </c>
      <c r="I8" s="5" t="n">
        <f aca="false">$D8</f>
        <v>10</v>
      </c>
      <c r="J8" s="5" t="n">
        <f aca="false">$D8</f>
        <v>10</v>
      </c>
      <c r="K8" s="33" t="n">
        <f aca="false">Modèle!$D$2*INDEX(Drops!$E$14:$E$17,MATCH(C8,Drops!$A$14:$A$17,0))</f>
        <v>10</v>
      </c>
      <c r="L8" s="8" t="n">
        <f aca="false">I8/K8</f>
        <v>1</v>
      </c>
      <c r="M8" s="8" t="n">
        <f aca="false">J8/H8</f>
        <v>1</v>
      </c>
      <c r="N8" s="2" t="str">
        <f aca="false">IF(ABS(L8-1)&gt;0.2,IF(L8&lt;0.8,"Faible","Fort"),IF(OR(M8&lt;0.67,M8&gt;1.5),"Dérive","OK"))</f>
        <v>OK</v>
      </c>
    </row>
    <row r="9" customFormat="false" ht="15" hidden="false" customHeight="false" outlineLevel="0" collapsed="false">
      <c r="A9" s="2" t="n">
        <v>8</v>
      </c>
      <c r="B9" s="30" t="s">
        <v>35</v>
      </c>
      <c r="C9" s="2" t="s">
        <v>12</v>
      </c>
      <c r="D9" s="31" t="n">
        <v>0.4</v>
      </c>
      <c r="E9" s="31" t="n">
        <v>0.12</v>
      </c>
      <c r="F9" s="2"/>
      <c r="G9" s="32" t="s">
        <v>172</v>
      </c>
      <c r="H9" s="5" t="n">
        <f aca="false">100*$D9*Modèle!$C$39+100*$E9*Modèle!$C$37</f>
        <v>10.2</v>
      </c>
      <c r="I9" s="5" t="n">
        <f aca="false">100*$D9*Modèle!$D$39+100*$E9*Modèle!$D$37</f>
        <v>10.2</v>
      </c>
      <c r="J9" s="5" t="n">
        <f aca="false">100*$D9*Modèle!$E$39+100*$E9*Modèle!$E$37</f>
        <v>10.2</v>
      </c>
      <c r="K9" s="33" t="n">
        <f aca="false">Modèle!$D$2*INDEX(Drops!$E$14:$E$17,MATCH(C9,Drops!$A$14:$A$17,0))</f>
        <v>10</v>
      </c>
      <c r="L9" s="8" t="n">
        <f aca="false">I9/K9</f>
        <v>1.02</v>
      </c>
      <c r="M9" s="8" t="n">
        <f aca="false">J9/H9</f>
        <v>1</v>
      </c>
      <c r="N9" s="2" t="str">
        <f aca="false">IF(ABS(L9-1)&gt;0.2,IF(L9&lt;0.8,"Faible","Fort"),IF(OR(M9&lt;0.67,M9&gt;1.5),"Dérive","OK"))</f>
        <v>OK</v>
      </c>
    </row>
    <row r="10" customFormat="false" ht="15" hidden="false" customHeight="false" outlineLevel="0" collapsed="false">
      <c r="A10" s="2" t="n">
        <v>9</v>
      </c>
      <c r="B10" s="30" t="s">
        <v>38</v>
      </c>
      <c r="C10" s="2" t="s">
        <v>12</v>
      </c>
      <c r="D10" s="31" t="n">
        <v>0.22</v>
      </c>
      <c r="E10" s="2"/>
      <c r="F10" s="2"/>
      <c r="G10" s="32" t="s">
        <v>173</v>
      </c>
      <c r="H10" s="5" t="n">
        <f aca="false">100*$D10*Modèle!$C$8</f>
        <v>9.51351351351351</v>
      </c>
      <c r="I10" s="5" t="n">
        <f aca="false">100*$D10*Modèle!$D$8</f>
        <v>9.51351351351351</v>
      </c>
      <c r="J10" s="5" t="n">
        <f aca="false">100*$D10*Modèle!$E$8</f>
        <v>9.51351351351351</v>
      </c>
      <c r="K10" s="33" t="n">
        <f aca="false">Modèle!$D$2*INDEX(Drops!$E$14:$E$17,MATCH(C10,Drops!$A$14:$A$17,0))</f>
        <v>10</v>
      </c>
      <c r="L10" s="8" t="n">
        <f aca="false">I10/K10</f>
        <v>0.951351351351351</v>
      </c>
      <c r="M10" s="8" t="n">
        <f aca="false">J10/H10</f>
        <v>1</v>
      </c>
      <c r="N10" s="2" t="str">
        <f aca="false">IF(ABS(L10-1)&gt;0.2,IF(L10&lt;0.8,"Faible","Fort"),IF(OR(M10&lt;0.67,M10&gt;1.5),"Dérive","OK"))</f>
        <v>OK</v>
      </c>
    </row>
    <row r="11" customFormat="false" ht="15" hidden="false" customHeight="false" outlineLevel="0" collapsed="false">
      <c r="A11" s="2" t="n">
        <v>10</v>
      </c>
      <c r="B11" s="30" t="s">
        <v>42</v>
      </c>
      <c r="C11" s="2" t="s">
        <v>12</v>
      </c>
      <c r="D11" s="31" t="n">
        <v>0.18</v>
      </c>
      <c r="E11" s="31" t="n">
        <v>1</v>
      </c>
      <c r="F11" s="2"/>
      <c r="G11" s="32" t="s">
        <v>174</v>
      </c>
      <c r="H11" s="5" t="n">
        <f aca="false">100*$D11*$E11*Modèle!$C$25</f>
        <v>10.08</v>
      </c>
      <c r="I11" s="5" t="n">
        <f aca="false">100*$D11*$E11*Modèle!$D$25</f>
        <v>10.08</v>
      </c>
      <c r="J11" s="5" t="n">
        <f aca="false">100*$D11*$E11*Modèle!$E$25</f>
        <v>10.08</v>
      </c>
      <c r="K11" s="33" t="n">
        <f aca="false">Modèle!$D$2*INDEX(Drops!$E$14:$E$17,MATCH(C11,Drops!$A$14:$A$17,0))</f>
        <v>10</v>
      </c>
      <c r="L11" s="8" t="n">
        <f aca="false">I11/K11</f>
        <v>1.008</v>
      </c>
      <c r="M11" s="8" t="n">
        <f aca="false">J11/H11</f>
        <v>1</v>
      </c>
      <c r="N11" s="2" t="str">
        <f aca="false">IF(ABS(L11-1)&gt;0.2,IF(L11&lt;0.8,"Faible","Fort"),IF(OR(M11&lt;0.67,M11&gt;1.5),"Dérive","OK"))</f>
        <v>OK</v>
      </c>
    </row>
    <row r="12" customFormat="false" ht="23.85" hidden="false" customHeight="false" outlineLevel="0" collapsed="false">
      <c r="A12" s="2" t="n">
        <v>11</v>
      </c>
      <c r="B12" s="30" t="s">
        <v>46</v>
      </c>
      <c r="C12" s="2" t="s">
        <v>12</v>
      </c>
      <c r="D12" s="31" t="n">
        <v>0.22</v>
      </c>
      <c r="E12" s="31" t="n">
        <v>0.8</v>
      </c>
      <c r="F12" s="2"/>
      <c r="G12" s="32" t="s">
        <v>175</v>
      </c>
      <c r="H12" s="5" t="n">
        <f aca="false">100*$D12*$E12*Modèle!$C$25</f>
        <v>9.856</v>
      </c>
      <c r="I12" s="5" t="n">
        <f aca="false">100*$D12*$E12*Modèle!$D$25</f>
        <v>9.856</v>
      </c>
      <c r="J12" s="5" t="n">
        <f aca="false">100*$D12*$E12*Modèle!$E$25</f>
        <v>9.856</v>
      </c>
      <c r="K12" s="33" t="n">
        <f aca="false">Modèle!$D$2*INDEX(Drops!$E$14:$E$17,MATCH(C12,Drops!$A$14:$A$17,0))</f>
        <v>10</v>
      </c>
      <c r="L12" s="8" t="n">
        <f aca="false">I12/K12</f>
        <v>0.9856</v>
      </c>
      <c r="M12" s="8" t="n">
        <f aca="false">J12/H12</f>
        <v>1</v>
      </c>
      <c r="N12" s="2" t="str">
        <f aca="false">IF(ABS(L12-1)&gt;0.2,IF(L12&lt;0.8,"Faible","Fort"),IF(OR(M12&lt;0.67,M12&gt;1.5),"Dérive","OK"))</f>
        <v>OK</v>
      </c>
    </row>
    <row r="13" customFormat="false" ht="15" hidden="false" customHeight="false" outlineLevel="0" collapsed="false">
      <c r="A13" s="2" t="n">
        <v>12</v>
      </c>
      <c r="B13" s="30" t="s">
        <v>49</v>
      </c>
      <c r="C13" s="2" t="s">
        <v>12</v>
      </c>
      <c r="D13" s="31" t="n">
        <v>0.18</v>
      </c>
      <c r="E13" s="31" t="n">
        <v>0.8</v>
      </c>
      <c r="F13" s="2"/>
      <c r="G13" s="32" t="s">
        <v>176</v>
      </c>
      <c r="H13" s="5" t="n">
        <f aca="false">100*$D13*$E13*Modèle!$C$26</f>
        <v>10.08</v>
      </c>
      <c r="I13" s="5" t="n">
        <f aca="false">100*$D13*$E13*Modèle!$D$26</f>
        <v>10.08</v>
      </c>
      <c r="J13" s="5" t="n">
        <f aca="false">100*$D13*$E13*Modèle!$E$26</f>
        <v>10.08</v>
      </c>
      <c r="K13" s="33" t="n">
        <f aca="false">Modèle!$D$2*INDEX(Drops!$E$14:$E$17,MATCH(C13,Drops!$A$14:$A$17,0))</f>
        <v>10</v>
      </c>
      <c r="L13" s="8" t="n">
        <f aca="false">I13/K13</f>
        <v>1.008</v>
      </c>
      <c r="M13" s="8" t="n">
        <f aca="false">J13/H13</f>
        <v>1</v>
      </c>
      <c r="N13" s="2" t="str">
        <f aca="false">IF(ABS(L13-1)&gt;0.2,IF(L13&lt;0.8,"Faible","Fort"),IF(OR(M13&lt;0.67,M13&gt;1.5),"Dérive","OK"))</f>
        <v>OK</v>
      </c>
    </row>
    <row r="14" customFormat="false" ht="15" hidden="false" customHeight="false" outlineLevel="0" collapsed="false">
      <c r="A14" s="2" t="n">
        <v>13</v>
      </c>
      <c r="B14" s="30" t="s">
        <v>52</v>
      </c>
      <c r="C14" s="2" t="s">
        <v>12</v>
      </c>
      <c r="D14" s="31" t="n">
        <v>0.09</v>
      </c>
      <c r="E14" s="2"/>
      <c r="F14" s="2"/>
      <c r="G14" s="32" t="s">
        <v>177</v>
      </c>
      <c r="H14" s="5" t="n">
        <f aca="false">100*(1/(1-$D14)-1)</f>
        <v>9.89010989010988</v>
      </c>
      <c r="I14" s="5" t="n">
        <f aca="false">100*(1/(1-$D14)-1)</f>
        <v>9.89010989010988</v>
      </c>
      <c r="J14" s="5" t="n">
        <f aca="false">100*(1/(1-$D14)-1)</f>
        <v>9.89010989010988</v>
      </c>
      <c r="K14" s="33" t="n">
        <f aca="false">Modèle!$D$2*INDEX(Drops!$E$14:$E$17,MATCH(C14,Drops!$A$14:$A$17,0))</f>
        <v>10</v>
      </c>
      <c r="L14" s="8" t="n">
        <f aca="false">I14/K14</f>
        <v>0.989010989010988</v>
      </c>
      <c r="M14" s="8" t="n">
        <f aca="false">J14/H14</f>
        <v>1</v>
      </c>
      <c r="N14" s="2" t="str">
        <f aca="false">IF(ABS(L14-1)&gt;0.2,IF(L14&lt;0.8,"Faible","Fort"),IF(OR(M14&lt;0.67,M14&gt;1.5),"Dérive","OK"))</f>
        <v>OK</v>
      </c>
    </row>
    <row r="15" customFormat="false" ht="15" hidden="false" customHeight="false" outlineLevel="0" collapsed="false">
      <c r="A15" s="2" t="n">
        <v>14</v>
      </c>
      <c r="B15" s="30" t="s">
        <v>54</v>
      </c>
      <c r="C15" s="2" t="s">
        <v>12</v>
      </c>
      <c r="D15" s="31" t="n">
        <v>0.0045</v>
      </c>
      <c r="E15" s="2"/>
      <c r="F15" s="2"/>
      <c r="G15" s="32" t="s">
        <v>178</v>
      </c>
      <c r="H15" s="5" t="n">
        <f aca="false">100*$D15*Modèle!$C$16/Modèle!$C$18</f>
        <v>10.2272727272727</v>
      </c>
      <c r="I15" s="5" t="n">
        <f aca="false">100*$D15*Modèle!$D$16/Modèle!$D$18</f>
        <v>10.2272727272727</v>
      </c>
      <c r="J15" s="5" t="n">
        <f aca="false">100*$D15*Modèle!$E$16/Modèle!$E$18</f>
        <v>10.2272727272727</v>
      </c>
      <c r="K15" s="33" t="n">
        <f aca="false">Modèle!$D$2*INDEX(Drops!$E$14:$E$17,MATCH(C15,Drops!$A$14:$A$17,0))</f>
        <v>10</v>
      </c>
      <c r="L15" s="8" t="n">
        <f aca="false">I15/K15</f>
        <v>1.02272727272727</v>
      </c>
      <c r="M15" s="8" t="n">
        <f aca="false">J15/H15</f>
        <v>1</v>
      </c>
      <c r="N15" s="2" t="str">
        <f aca="false">IF(ABS(L15-1)&gt;0.2,IF(L15&lt;0.8,"Faible","Fort"),IF(OR(M15&lt;0.67,M15&gt;1.5),"Dérive","OK"))</f>
        <v>OK</v>
      </c>
    </row>
    <row r="16" customFormat="false" ht="15" hidden="false" customHeight="false" outlineLevel="0" collapsed="false">
      <c r="A16" s="2" t="n">
        <v>15</v>
      </c>
      <c r="B16" s="30" t="s">
        <v>56</v>
      </c>
      <c r="C16" s="2" t="s">
        <v>12</v>
      </c>
      <c r="D16" s="31" t="n">
        <v>0.0005</v>
      </c>
      <c r="E16" s="31" t="n">
        <v>0.25</v>
      </c>
      <c r="F16" s="2"/>
      <c r="G16" s="32" t="s">
        <v>179</v>
      </c>
      <c r="H16" s="5" t="n">
        <f aca="false">100*$D16*Modèle!$C$16*Modèle!$C$24/Modèle!$C$18+100*$E16*Modèle!$C$38</f>
        <v>10.0681818181818</v>
      </c>
      <c r="I16" s="5" t="n">
        <f aca="false">100*$D16*Modèle!$D$16*Modèle!$D$24/Modèle!$D$18+100*$E16*Modèle!$D$38</f>
        <v>10.0681818181818</v>
      </c>
      <c r="J16" s="5" t="n">
        <f aca="false">100*$D16*Modèle!$E$16*Modèle!$E$24/Modèle!$E$18+100*$E16*Modèle!$E$38</f>
        <v>10.0681818181818</v>
      </c>
      <c r="K16" s="33" t="n">
        <f aca="false">Modèle!$D$2*INDEX(Drops!$E$14:$E$17,MATCH(C16,Drops!$A$14:$A$17,0))</f>
        <v>10</v>
      </c>
      <c r="L16" s="8" t="n">
        <f aca="false">I16/K16</f>
        <v>1.00681818181818</v>
      </c>
      <c r="M16" s="8" t="n">
        <f aca="false">J16/H16</f>
        <v>1</v>
      </c>
      <c r="N16" s="2" t="str">
        <f aca="false">IF(ABS(L16-1)&gt;0.2,IF(L16&lt;0.8,"Faible","Fort"),IF(OR(M16&lt;0.67,M16&gt;1.5),"Dérive","OK"))</f>
        <v>OK</v>
      </c>
    </row>
    <row r="17" customFormat="false" ht="15" hidden="false" customHeight="false" outlineLevel="0" collapsed="false">
      <c r="A17" s="2" t="n">
        <v>16</v>
      </c>
      <c r="B17" s="30" t="s">
        <v>59</v>
      </c>
      <c r="C17" s="2" t="s">
        <v>12</v>
      </c>
      <c r="D17" s="31" t="n">
        <v>0.15</v>
      </c>
      <c r="E17" s="2"/>
      <c r="F17" s="2"/>
      <c r="G17" s="32" t="s">
        <v>180</v>
      </c>
      <c r="H17" s="5" t="n">
        <f aca="false">100*$D17*Modèle!$C$37</f>
        <v>9</v>
      </c>
      <c r="I17" s="5" t="n">
        <f aca="false">100*$D17*Modèle!$D$37</f>
        <v>9</v>
      </c>
      <c r="J17" s="5" t="n">
        <f aca="false">100*$D17*Modèle!$E$37</f>
        <v>9</v>
      </c>
      <c r="K17" s="33" t="n">
        <f aca="false">Modèle!$D$2*INDEX(Drops!$E$14:$E$17,MATCH(C17,Drops!$A$14:$A$17,0))</f>
        <v>10</v>
      </c>
      <c r="L17" s="8" t="n">
        <f aca="false">I17/K17</f>
        <v>0.9</v>
      </c>
      <c r="M17" s="8" t="n">
        <f aca="false">J17/H17</f>
        <v>1</v>
      </c>
      <c r="N17" s="2" t="str">
        <f aca="false">IF(ABS(L17-1)&gt;0.2,IF(L17&lt;0.8,"Faible","Fort"),IF(OR(M17&lt;0.67,M17&gt;1.5),"Dérive","OK"))</f>
        <v>OK</v>
      </c>
    </row>
    <row r="18" customFormat="false" ht="15" hidden="false" customHeight="false" outlineLevel="0" collapsed="false">
      <c r="A18" s="2" t="n">
        <v>17</v>
      </c>
      <c r="B18" s="30" t="s">
        <v>62</v>
      </c>
      <c r="C18" s="2" t="s">
        <v>12</v>
      </c>
      <c r="D18" s="31" t="n">
        <v>0.3</v>
      </c>
      <c r="E18" s="31" t="n">
        <v>0.12</v>
      </c>
      <c r="F18" s="2"/>
      <c r="G18" s="32" t="s">
        <v>181</v>
      </c>
      <c r="H18" s="5" t="n">
        <f aca="false">100*(Modèle!$C$40*$D18+Modèle!$C$41*$E18)</f>
        <v>9.9</v>
      </c>
      <c r="I18" s="5" t="n">
        <f aca="false">100*(Modèle!$D$40*$D18+Modèle!$D$41*$E18)</f>
        <v>9.9</v>
      </c>
      <c r="J18" s="5" t="n">
        <f aca="false">100*(Modèle!$E$40*$D18+Modèle!$E$41*$E18)</f>
        <v>9.9</v>
      </c>
      <c r="K18" s="33" t="n">
        <f aca="false">Modèle!$D$2*INDEX(Drops!$E$14:$E$17,MATCH(C18,Drops!$A$14:$A$17,0))</f>
        <v>10</v>
      </c>
      <c r="L18" s="8" t="n">
        <f aca="false">I18/K18</f>
        <v>0.99</v>
      </c>
      <c r="M18" s="8" t="n">
        <f aca="false">J18/H18</f>
        <v>1</v>
      </c>
      <c r="N18" s="2" t="str">
        <f aca="false">IF(ABS(L18-1)&gt;0.2,IF(L18&lt;0.8,"Faible","Fort"),IF(OR(M18&lt;0.67,M18&gt;1.5),"Dérive","OK"))</f>
        <v>OK</v>
      </c>
    </row>
    <row r="19" customFormat="false" ht="15" hidden="false" customHeight="false" outlineLevel="0" collapsed="false">
      <c r="A19" s="9" t="n">
        <v>18</v>
      </c>
      <c r="B19" s="34" t="s">
        <v>66</v>
      </c>
      <c r="C19" s="9" t="s">
        <v>67</v>
      </c>
      <c r="D19" s="35" t="n">
        <v>0.4</v>
      </c>
      <c r="E19" s="35" t="n">
        <v>1</v>
      </c>
      <c r="F19" s="9"/>
      <c r="G19" s="36" t="s">
        <v>174</v>
      </c>
      <c r="H19" s="12" t="n">
        <f aca="false">100*$D19*$E19*Modèle!$C$25</f>
        <v>22.4</v>
      </c>
      <c r="I19" s="12" t="n">
        <f aca="false">100*$D19*$E19*Modèle!$D$25</f>
        <v>22.4</v>
      </c>
      <c r="J19" s="12" t="n">
        <f aca="false">100*$D19*$E19*Modèle!$E$25</f>
        <v>22.4</v>
      </c>
      <c r="K19" s="37" t="n">
        <f aca="false">Modèle!$D$2*INDEX(Drops!$E$14:$E$17,MATCH(C19,Drops!$A$14:$A$17,0))</f>
        <v>22</v>
      </c>
      <c r="L19" s="15" t="n">
        <f aca="false">I19/K19</f>
        <v>1.01818181818182</v>
      </c>
      <c r="M19" s="15" t="n">
        <f aca="false">J19/H19</f>
        <v>1</v>
      </c>
      <c r="N19" s="9" t="str">
        <f aca="false">IF(ABS(L19-1)&gt;0.2,IF(L19&lt;0.8,"Faible","Fort"),IF(OR(M19&lt;0.67,M19&gt;1.5),"Dérive","OK"))</f>
        <v>OK</v>
      </c>
    </row>
    <row r="20" customFormat="false" ht="15" hidden="false" customHeight="false" outlineLevel="0" collapsed="false">
      <c r="A20" s="9" t="n">
        <v>19</v>
      </c>
      <c r="B20" s="34" t="s">
        <v>48</v>
      </c>
      <c r="C20" s="9" t="s">
        <v>67</v>
      </c>
      <c r="D20" s="35" t="n">
        <v>0.4</v>
      </c>
      <c r="E20" s="35" t="n">
        <v>1</v>
      </c>
      <c r="F20" s="9"/>
      <c r="G20" s="36" t="s">
        <v>182</v>
      </c>
      <c r="H20" s="12" t="n">
        <f aca="false">100*$D20*$E20*Modèle!$C$25</f>
        <v>22.4</v>
      </c>
      <c r="I20" s="12" t="n">
        <f aca="false">100*$D20*$E20*Modèle!$D$25</f>
        <v>22.4</v>
      </c>
      <c r="J20" s="12" t="n">
        <f aca="false">100*$D20*$E20*Modèle!$E$25</f>
        <v>22.4</v>
      </c>
      <c r="K20" s="37" t="n">
        <f aca="false">Modèle!$D$2*INDEX(Drops!$E$14:$E$17,MATCH(C20,Drops!$A$14:$A$17,0))</f>
        <v>22</v>
      </c>
      <c r="L20" s="15" t="n">
        <f aca="false">I20/K20</f>
        <v>1.01818181818182</v>
      </c>
      <c r="M20" s="15" t="n">
        <f aca="false">J20/H20</f>
        <v>1</v>
      </c>
      <c r="N20" s="9" t="str">
        <f aca="false">IF(ABS(L20-1)&gt;0.2,IF(L20&lt;0.8,"Faible","Fort"),IF(OR(M20&lt;0.67,M20&gt;1.5),"Dérive","OK"))</f>
        <v>OK</v>
      </c>
    </row>
    <row r="21" customFormat="false" ht="15" hidden="false" customHeight="false" outlineLevel="0" collapsed="false">
      <c r="A21" s="9" t="n">
        <v>20</v>
      </c>
      <c r="B21" s="34" t="s">
        <v>70</v>
      </c>
      <c r="C21" s="9" t="s">
        <v>67</v>
      </c>
      <c r="D21" s="35" t="n">
        <v>0.2</v>
      </c>
      <c r="E21" s="35" t="n">
        <v>0.18</v>
      </c>
      <c r="F21" s="9"/>
      <c r="G21" s="36" t="s">
        <v>183</v>
      </c>
      <c r="H21" s="12" t="n">
        <f aca="false">100*($D21+$E21)*Modèle!$C$9</f>
        <v>21.5675675675676</v>
      </c>
      <c r="I21" s="12" t="n">
        <f aca="false">100*($D21+$E21)*Modèle!$D$9</f>
        <v>21.5675675675676</v>
      </c>
      <c r="J21" s="12" t="n">
        <f aca="false">100*($D21+$E21)*Modèle!$E$9</f>
        <v>21.5675675675676</v>
      </c>
      <c r="K21" s="37" t="n">
        <f aca="false">Modèle!$D$2*INDEX(Drops!$E$14:$E$17,MATCH(C21,Drops!$A$14:$A$17,0))</f>
        <v>22</v>
      </c>
      <c r="L21" s="15" t="n">
        <f aca="false">I21/K21</f>
        <v>0.98034398034398</v>
      </c>
      <c r="M21" s="15" t="n">
        <f aca="false">J21/H21</f>
        <v>1</v>
      </c>
      <c r="N21" s="9" t="str">
        <f aca="false">IF(ABS(L21-1)&gt;0.2,IF(L21&lt;0.8,"Faible","Fort"),IF(OR(M21&lt;0.67,M21&gt;1.5),"Dérive","OK"))</f>
        <v>OK</v>
      </c>
    </row>
    <row r="22" customFormat="false" ht="15" hidden="false" customHeight="false" outlineLevel="0" collapsed="false">
      <c r="A22" s="9" t="n">
        <v>21</v>
      </c>
      <c r="B22" s="34" t="s">
        <v>72</v>
      </c>
      <c r="C22" s="9" t="s">
        <v>67</v>
      </c>
      <c r="D22" s="35" t="n">
        <v>0.5</v>
      </c>
      <c r="E22" s="9"/>
      <c r="F22" s="9"/>
      <c r="G22" s="36" t="s">
        <v>184</v>
      </c>
      <c r="H22" s="12" t="n">
        <f aca="false">100*$D22*Modèle!$C$8</f>
        <v>21.6216216216216</v>
      </c>
      <c r="I22" s="12" t="n">
        <f aca="false">100*$D22*Modèle!$D$8</f>
        <v>21.6216216216216</v>
      </c>
      <c r="J22" s="12" t="n">
        <f aca="false">100*$D22*Modèle!$E$8</f>
        <v>21.6216216216216</v>
      </c>
      <c r="K22" s="37" t="n">
        <f aca="false">Modèle!$D$2*INDEX(Drops!$E$14:$E$17,MATCH(C22,Drops!$A$14:$A$17,0))</f>
        <v>22</v>
      </c>
      <c r="L22" s="15" t="n">
        <f aca="false">I22/K22</f>
        <v>0.982800982800983</v>
      </c>
      <c r="M22" s="15" t="n">
        <f aca="false">J22/H22</f>
        <v>1</v>
      </c>
      <c r="N22" s="9" t="str">
        <f aca="false">IF(ABS(L22-1)&gt;0.2,IF(L22&lt;0.8,"Faible","Fort"),IF(OR(M22&lt;0.67,M22&gt;1.5),"Dérive","OK"))</f>
        <v>OK</v>
      </c>
    </row>
    <row r="23" customFormat="false" ht="15" hidden="false" customHeight="false" outlineLevel="0" collapsed="false">
      <c r="A23" s="9" t="n">
        <v>22</v>
      </c>
      <c r="B23" s="34" t="s">
        <v>74</v>
      </c>
      <c r="C23" s="9" t="s">
        <v>67</v>
      </c>
      <c r="D23" s="35" t="n">
        <v>0.4</v>
      </c>
      <c r="E23" s="35" t="n">
        <v>0.8</v>
      </c>
      <c r="F23" s="9"/>
      <c r="G23" s="36" t="s">
        <v>185</v>
      </c>
      <c r="H23" s="12" t="n">
        <f aca="false">100*$D23*$E23*Modèle!$C$26</f>
        <v>22.4</v>
      </c>
      <c r="I23" s="12" t="n">
        <f aca="false">100*$D23*$E23*Modèle!$D$26</f>
        <v>22.4</v>
      </c>
      <c r="J23" s="12" t="n">
        <f aca="false">100*$D23*$E23*Modèle!$E$26</f>
        <v>22.4</v>
      </c>
      <c r="K23" s="37" t="n">
        <f aca="false">Modèle!$D$2*INDEX(Drops!$E$14:$E$17,MATCH(C23,Drops!$A$14:$A$17,0))</f>
        <v>22</v>
      </c>
      <c r="L23" s="15" t="n">
        <f aca="false">I23/K23</f>
        <v>1.01818181818182</v>
      </c>
      <c r="M23" s="15" t="n">
        <f aca="false">J23/H23</f>
        <v>1</v>
      </c>
      <c r="N23" s="9" t="str">
        <f aca="false">IF(ABS(L23-1)&gt;0.2,IF(L23&lt;0.8,"Faible","Fort"),IF(OR(M23&lt;0.67,M23&gt;1.5),"Dérive","OK"))</f>
        <v>OK</v>
      </c>
    </row>
    <row r="24" customFormat="false" ht="15" hidden="false" customHeight="false" outlineLevel="0" collapsed="false">
      <c r="A24" s="9" t="n">
        <v>23</v>
      </c>
      <c r="B24" s="34" t="s">
        <v>76</v>
      </c>
      <c r="C24" s="9" t="s">
        <v>67</v>
      </c>
      <c r="D24" s="35" t="n">
        <v>0.18</v>
      </c>
      <c r="E24" s="9"/>
      <c r="F24" s="9"/>
      <c r="G24" s="36" t="s">
        <v>186</v>
      </c>
      <c r="H24" s="12" t="n">
        <f aca="false">100*(1/(1-$D24)-1)</f>
        <v>21.9512195121951</v>
      </c>
      <c r="I24" s="12" t="n">
        <f aca="false">100*(1/(1-$D24)-1)</f>
        <v>21.9512195121951</v>
      </c>
      <c r="J24" s="12" t="n">
        <f aca="false">100*(1/(1-$D24)-1)</f>
        <v>21.9512195121951</v>
      </c>
      <c r="K24" s="37" t="n">
        <f aca="false">Modèle!$D$2*INDEX(Drops!$E$14:$E$17,MATCH(C24,Drops!$A$14:$A$17,0))</f>
        <v>22</v>
      </c>
      <c r="L24" s="15" t="n">
        <f aca="false">I24/K24</f>
        <v>0.997782705099778</v>
      </c>
      <c r="M24" s="15" t="n">
        <f aca="false">J24/H24</f>
        <v>1</v>
      </c>
      <c r="N24" s="9" t="str">
        <f aca="false">IF(ABS(L24-1)&gt;0.2,IF(L24&lt;0.8,"Faible","Fort"),IF(OR(M24&lt;0.67,M24&gt;1.5),"Dérive","OK"))</f>
        <v>OK</v>
      </c>
    </row>
    <row r="25" customFormat="false" ht="15" hidden="false" customHeight="false" outlineLevel="0" collapsed="false">
      <c r="A25" s="9" t="n">
        <v>24</v>
      </c>
      <c r="B25" s="34" t="s">
        <v>78</v>
      </c>
      <c r="C25" s="9" t="s">
        <v>67</v>
      </c>
      <c r="D25" s="35" t="n">
        <v>0.7</v>
      </c>
      <c r="E25" s="9"/>
      <c r="F25" s="9"/>
      <c r="G25" s="36" t="s">
        <v>187</v>
      </c>
      <c r="H25" s="12" t="n">
        <f aca="false">100*$D25*Modèle!$C$20/Modèle!$C$7*(Modèle!$C$18/Modèle!$C$21)</f>
        <v>19.9783783783784</v>
      </c>
      <c r="I25" s="12" t="n">
        <f aca="false">100*$D25*Modèle!$D$20/Modèle!$D$7*(Modèle!$D$18/Modèle!$D$21)</f>
        <v>24.2360655737705</v>
      </c>
      <c r="J25" s="12" t="n">
        <f aca="false">100*$D25*Modèle!$E$20/Modèle!$E$7*(Modèle!$E$18/Modèle!$E$21)</f>
        <v>24.627434982152</v>
      </c>
      <c r="K25" s="37" t="n">
        <f aca="false">Modèle!$D$2*INDEX(Drops!$E$14:$E$17,MATCH(C25,Drops!$A$14:$A$17,0))</f>
        <v>22</v>
      </c>
      <c r="L25" s="15" t="n">
        <f aca="false">I25/K25</f>
        <v>1.1016393442623</v>
      </c>
      <c r="M25" s="15" t="n">
        <f aca="false">J25/H25</f>
        <v>1.23270440251572</v>
      </c>
      <c r="N25" s="9" t="str">
        <f aca="false">IF(ABS(L25-1)&gt;0.2,IF(L25&lt;0.8,"Faible","Fort"),IF(OR(M25&lt;0.67,M25&gt;1.5),"Dérive","OK"))</f>
        <v>OK</v>
      </c>
    </row>
    <row r="26" customFormat="false" ht="23.85" hidden="false" customHeight="false" outlineLevel="0" collapsed="false">
      <c r="A26" s="9" t="n">
        <v>25</v>
      </c>
      <c r="B26" s="34" t="s">
        <v>80</v>
      </c>
      <c r="C26" s="9" t="s">
        <v>67</v>
      </c>
      <c r="D26" s="35" t="n">
        <v>0.15</v>
      </c>
      <c r="E26" s="35" t="n">
        <v>3</v>
      </c>
      <c r="F26" s="35" t="n">
        <v>0.5</v>
      </c>
      <c r="G26" s="36" t="s">
        <v>188</v>
      </c>
      <c r="H26" s="12" t="n">
        <f aca="false">100*$D26*$E26*$F26</f>
        <v>22.5</v>
      </c>
      <c r="I26" s="12" t="n">
        <f aca="false">100*$D26*$E26*$F26</f>
        <v>22.5</v>
      </c>
      <c r="J26" s="12" t="n">
        <f aca="false">100*$D26*$E26*$F26</f>
        <v>22.5</v>
      </c>
      <c r="K26" s="37" t="n">
        <f aca="false">Modèle!$D$2*INDEX(Drops!$E$14:$E$17,MATCH(C26,Drops!$A$14:$A$17,0))</f>
        <v>22</v>
      </c>
      <c r="L26" s="15" t="n">
        <f aca="false">I26/K26</f>
        <v>1.02272727272727</v>
      </c>
      <c r="M26" s="15" t="n">
        <f aca="false">J26/H26</f>
        <v>1</v>
      </c>
      <c r="N26" s="9" t="str">
        <f aca="false">IF(ABS(L26-1)&gt;0.2,IF(L26&lt;0.8,"Faible","Fort"),IF(OR(M26&lt;0.67,M26&gt;1.5),"Dérive","OK"))</f>
        <v>OK</v>
      </c>
    </row>
    <row r="27" customFormat="false" ht="15" hidden="false" customHeight="false" outlineLevel="0" collapsed="false">
      <c r="A27" s="9" t="n">
        <v>26</v>
      </c>
      <c r="B27" s="34" t="s">
        <v>83</v>
      </c>
      <c r="C27" s="9" t="s">
        <v>67</v>
      </c>
      <c r="D27" s="35" t="n">
        <v>0.25</v>
      </c>
      <c r="E27" s="35" t="n">
        <v>0.15</v>
      </c>
      <c r="F27" s="9"/>
      <c r="G27" s="36" t="s">
        <v>189</v>
      </c>
      <c r="H27" s="12" t="n">
        <f aca="false">100*Modèle!$C$10*($D27*Modèle!$C$13*0.5+$E27*Modèle!$C$13)</f>
        <v>22.2972972972973</v>
      </c>
      <c r="I27" s="12" t="n">
        <f aca="false">100*Modèle!$D$10*($D27*Modèle!$D$13*0.5+$E27*Modèle!$D$13)</f>
        <v>22.2972972972973</v>
      </c>
      <c r="J27" s="12" t="n">
        <f aca="false">100*Modèle!$E$10*($D27*Modèle!$E$13*0.5+$E27*Modèle!$E$13)</f>
        <v>22.2972972972973</v>
      </c>
      <c r="K27" s="37" t="n">
        <f aca="false">Modèle!$D$2*INDEX(Drops!$E$14:$E$17,MATCH(C27,Drops!$A$14:$A$17,0))</f>
        <v>22</v>
      </c>
      <c r="L27" s="15" t="n">
        <f aca="false">I27/K27</f>
        <v>1.01351351351351</v>
      </c>
      <c r="M27" s="15" t="n">
        <f aca="false">J27/H27</f>
        <v>1</v>
      </c>
      <c r="N27" s="9" t="str">
        <f aca="false">IF(ABS(L27-1)&gt;0.2,IF(L27&lt;0.8,"Faible","Fort"),IF(OR(M27&lt;0.67,M27&gt;1.5),"Dérive","OK"))</f>
        <v>OK</v>
      </c>
    </row>
    <row r="28" customFormat="false" ht="15" hidden="false" customHeight="false" outlineLevel="0" collapsed="false">
      <c r="A28" s="9" t="n">
        <v>27</v>
      </c>
      <c r="B28" s="34" t="s">
        <v>85</v>
      </c>
      <c r="C28" s="9" t="s">
        <v>67</v>
      </c>
      <c r="D28" s="35" t="n">
        <v>0.002</v>
      </c>
      <c r="E28" s="9"/>
      <c r="F28" s="9"/>
      <c r="G28" s="36" t="s">
        <v>190</v>
      </c>
      <c r="H28" s="12" t="n">
        <f aca="false">100*$D28*Modèle!$C$16*Modèle!$C$23/Modèle!$C$18</f>
        <v>22.7272727272727</v>
      </c>
      <c r="I28" s="12" t="n">
        <f aca="false">100*$D28*Modèle!$D$16*Modèle!$D$23/Modèle!$D$18</f>
        <v>22.7272727272727</v>
      </c>
      <c r="J28" s="12" t="n">
        <f aca="false">100*$D28*Modèle!$E$16*Modèle!$E$23/Modèle!$E$18</f>
        <v>22.7272727272727</v>
      </c>
      <c r="K28" s="37" t="n">
        <f aca="false">Modèle!$D$2*INDEX(Drops!$E$14:$E$17,MATCH(C28,Drops!$A$14:$A$17,0))</f>
        <v>22</v>
      </c>
      <c r="L28" s="15" t="n">
        <f aca="false">I28/K28</f>
        <v>1.03305785123967</v>
      </c>
      <c r="M28" s="15" t="n">
        <f aca="false">J28/H28</f>
        <v>1</v>
      </c>
      <c r="N28" s="9" t="str">
        <f aca="false">IF(ABS(L28-1)&gt;0.2,IF(L28&lt;0.8,"Faible","Fort"),IF(OR(M28&lt;0.67,M28&gt;1.5),"Dérive","OK"))</f>
        <v>OK</v>
      </c>
    </row>
    <row r="29" customFormat="false" ht="15" hidden="false" customHeight="false" outlineLevel="0" collapsed="false">
      <c r="A29" s="9" t="n">
        <v>28</v>
      </c>
      <c r="B29" s="34" t="s">
        <v>87</v>
      </c>
      <c r="C29" s="9" t="s">
        <v>67</v>
      </c>
      <c r="D29" s="35" t="n">
        <v>0.15</v>
      </c>
      <c r="E29" s="35" t="n">
        <v>0.003</v>
      </c>
      <c r="F29" s="9"/>
      <c r="G29" s="36" t="s">
        <v>191</v>
      </c>
      <c r="H29" s="12" t="n">
        <f aca="false">100*$D29+100*$E29*Modèle!$C$16/Modèle!$C$18</f>
        <v>21.8181818181818</v>
      </c>
      <c r="I29" s="12" t="n">
        <f aca="false">100*$D29+100*$E29*Modèle!$D$16/Modèle!$D$18</f>
        <v>21.8181818181818</v>
      </c>
      <c r="J29" s="12" t="n">
        <f aca="false">100*$D29+100*$E29*Modèle!$E$16/Modèle!$E$18</f>
        <v>21.8181818181818</v>
      </c>
      <c r="K29" s="37" t="n">
        <f aca="false">Modèle!$D$2*INDEX(Drops!$E$14:$E$17,MATCH(C29,Drops!$A$14:$A$17,0))</f>
        <v>22</v>
      </c>
      <c r="L29" s="15" t="n">
        <f aca="false">I29/K29</f>
        <v>0.991735537190083</v>
      </c>
      <c r="M29" s="15" t="n">
        <f aca="false">J29/H29</f>
        <v>1</v>
      </c>
      <c r="N29" s="9" t="str">
        <f aca="false">IF(ABS(L29-1)&gt;0.2,IF(L29&lt;0.8,"Faible","Fort"),IF(OR(M29&lt;0.67,M29&gt;1.5),"Dérive","OK"))</f>
        <v>OK</v>
      </c>
    </row>
    <row r="30" customFormat="false" ht="15" hidden="false" customHeight="false" outlineLevel="0" collapsed="false">
      <c r="A30" s="9" t="n">
        <v>29</v>
      </c>
      <c r="B30" s="34" t="s">
        <v>89</v>
      </c>
      <c r="C30" s="9" t="s">
        <v>67</v>
      </c>
      <c r="D30" s="35" t="n">
        <v>0.28</v>
      </c>
      <c r="E30" s="9"/>
      <c r="F30" s="9"/>
      <c r="G30" s="36" t="s">
        <v>192</v>
      </c>
      <c r="H30" s="12" t="n">
        <f aca="false">100*$D30*Modèle!$C$35</f>
        <v>22.4</v>
      </c>
      <c r="I30" s="12" t="n">
        <f aca="false">100*$D30*Modèle!$D$35</f>
        <v>22.4</v>
      </c>
      <c r="J30" s="12" t="n">
        <f aca="false">100*$D30*Modèle!$E$35</f>
        <v>22.4</v>
      </c>
      <c r="K30" s="37" t="n">
        <f aca="false">Modèle!$D$2*INDEX(Drops!$E$14:$E$17,MATCH(C30,Drops!$A$14:$A$17,0))</f>
        <v>22</v>
      </c>
      <c r="L30" s="15" t="n">
        <f aca="false">I30/K30</f>
        <v>1.01818181818182</v>
      </c>
      <c r="M30" s="15" t="n">
        <f aca="false">J30/H30</f>
        <v>1</v>
      </c>
      <c r="N30" s="9" t="str">
        <f aca="false">IF(ABS(L30-1)&gt;0.2,IF(L30&lt;0.8,"Faible","Fort"),IF(OR(M30&lt;0.67,M30&gt;1.5),"Dérive","OK"))</f>
        <v>OK</v>
      </c>
    </row>
    <row r="31" customFormat="false" ht="15" hidden="false" customHeight="false" outlineLevel="0" collapsed="false">
      <c r="A31" s="9" t="n">
        <v>30</v>
      </c>
      <c r="B31" s="34" t="s">
        <v>92</v>
      </c>
      <c r="C31" s="9" t="s">
        <v>67</v>
      </c>
      <c r="D31" s="35" t="n">
        <v>0.7</v>
      </c>
      <c r="E31" s="9"/>
      <c r="F31" s="9"/>
      <c r="G31" s="36" t="s">
        <v>193</v>
      </c>
      <c r="H31" s="12" t="n">
        <f aca="false">100*$D31*Modèle!$C$29</f>
        <v>21</v>
      </c>
      <c r="I31" s="12" t="n">
        <f aca="false">100*$D31*Modèle!$D$29</f>
        <v>21</v>
      </c>
      <c r="J31" s="12" t="n">
        <f aca="false">100*$D31*Modèle!$E$29</f>
        <v>21</v>
      </c>
      <c r="K31" s="37" t="n">
        <f aca="false">Modèle!$D$2*INDEX(Drops!$E$14:$E$17,MATCH(C31,Drops!$A$14:$A$17,0))</f>
        <v>22</v>
      </c>
      <c r="L31" s="15" t="n">
        <f aca="false">I31/K31</f>
        <v>0.954545454545455</v>
      </c>
      <c r="M31" s="15" t="n">
        <f aca="false">J31/H31</f>
        <v>1</v>
      </c>
      <c r="N31" s="9" t="str">
        <f aca="false">IF(ABS(L31-1)&gt;0.2,IF(L31&lt;0.8,"Faible","Fort"),IF(OR(M31&lt;0.67,M31&gt;1.5),"Dérive","OK"))</f>
        <v>OK</v>
      </c>
    </row>
    <row r="32" customFormat="false" ht="15" hidden="false" customHeight="false" outlineLevel="0" collapsed="false">
      <c r="A32" s="9" t="n">
        <v>31</v>
      </c>
      <c r="B32" s="34" t="s">
        <v>95</v>
      </c>
      <c r="C32" s="9" t="s">
        <v>67</v>
      </c>
      <c r="D32" s="35" t="n">
        <v>0.45</v>
      </c>
      <c r="E32" s="9"/>
      <c r="F32" s="9"/>
      <c r="G32" s="36" t="s">
        <v>194</v>
      </c>
      <c r="H32" s="12" t="n">
        <f aca="false">100*$D32*Modèle!$C$33</f>
        <v>22.5</v>
      </c>
      <c r="I32" s="12" t="n">
        <f aca="false">100*$D32*Modèle!$D$33</f>
        <v>22.5</v>
      </c>
      <c r="J32" s="12" t="n">
        <f aca="false">100*$D32*Modèle!$E$33</f>
        <v>22.5</v>
      </c>
      <c r="K32" s="37" t="n">
        <f aca="false">Modèle!$D$2*INDEX(Drops!$E$14:$E$17,MATCH(C32,Drops!$A$14:$A$17,0))</f>
        <v>22</v>
      </c>
      <c r="L32" s="15" t="n">
        <f aca="false">I32/K32</f>
        <v>1.02272727272727</v>
      </c>
      <c r="M32" s="15" t="n">
        <f aca="false">J32/H32</f>
        <v>1</v>
      </c>
      <c r="N32" s="9" t="str">
        <f aca="false">IF(ABS(L32-1)&gt;0.2,IF(L32&lt;0.8,"Faible","Fort"),IF(OR(M32&lt;0.67,M32&gt;1.5),"Dérive","OK"))</f>
        <v>OK</v>
      </c>
    </row>
    <row r="33" customFormat="false" ht="15" hidden="false" customHeight="false" outlineLevel="0" collapsed="false">
      <c r="A33" s="9" t="n">
        <v>32</v>
      </c>
      <c r="B33" s="34" t="s">
        <v>98</v>
      </c>
      <c r="C33" s="9" t="s">
        <v>67</v>
      </c>
      <c r="D33" s="35" t="n">
        <v>0.3</v>
      </c>
      <c r="E33" s="35" t="n">
        <v>0.3</v>
      </c>
      <c r="F33" s="9"/>
      <c r="G33" s="36" t="s">
        <v>195</v>
      </c>
      <c r="H33" s="12" t="n">
        <f aca="false">100*$D33*Modèle!$C$8+100*Modèle!$C$40*$E33</f>
        <v>20.472972972973</v>
      </c>
      <c r="I33" s="12" t="n">
        <f aca="false">100*$D33*Modèle!$D$8+100*Modèle!$D$40*$E33</f>
        <v>20.472972972973</v>
      </c>
      <c r="J33" s="12" t="n">
        <f aca="false">100*$D33*Modèle!$E$8+100*Modèle!$E$40*$E33</f>
        <v>20.472972972973</v>
      </c>
      <c r="K33" s="37" t="n">
        <f aca="false">Modèle!$D$2*INDEX(Drops!$E$14:$E$17,MATCH(C33,Drops!$A$14:$A$17,0))</f>
        <v>22</v>
      </c>
      <c r="L33" s="15" t="n">
        <f aca="false">I33/K33</f>
        <v>0.930589680589681</v>
      </c>
      <c r="M33" s="15" t="n">
        <f aca="false">J33/H33</f>
        <v>1</v>
      </c>
      <c r="N33" s="9" t="str">
        <f aca="false">IF(ABS(L33-1)&gt;0.2,IF(L33&lt;0.8,"Faible","Fort"),IF(OR(M33&lt;0.67,M33&gt;1.5),"Dérive","OK"))</f>
        <v>OK</v>
      </c>
    </row>
    <row r="34" customFormat="false" ht="15" hidden="false" customHeight="false" outlineLevel="0" collapsed="false">
      <c r="A34" s="9" t="n">
        <v>33</v>
      </c>
      <c r="B34" s="34" t="s">
        <v>100</v>
      </c>
      <c r="C34" s="9" t="s">
        <v>67</v>
      </c>
      <c r="D34" s="35" t="n">
        <v>0.7</v>
      </c>
      <c r="E34" s="9"/>
      <c r="F34" s="9"/>
      <c r="G34" s="36" t="s">
        <v>196</v>
      </c>
      <c r="H34" s="12" t="n">
        <f aca="false">100*Modèle!$C$8*$D34*Modèle!$C$27</f>
        <v>24.2162162162162</v>
      </c>
      <c r="I34" s="12" t="n">
        <f aca="false">100*Modèle!$D$8*$D34*Modèle!$D$27</f>
        <v>24.2162162162162</v>
      </c>
      <c r="J34" s="12" t="n">
        <f aca="false">100*Modèle!$E$8*$D34*Modèle!$E$27</f>
        <v>24.2162162162162</v>
      </c>
      <c r="K34" s="37" t="n">
        <f aca="false">Modèle!$D$2*INDEX(Drops!$E$14:$E$17,MATCH(C34,Drops!$A$14:$A$17,0))</f>
        <v>22</v>
      </c>
      <c r="L34" s="15" t="n">
        <f aca="false">I34/K34</f>
        <v>1.1007371007371</v>
      </c>
      <c r="M34" s="15" t="n">
        <f aca="false">J34/H34</f>
        <v>1</v>
      </c>
      <c r="N34" s="9" t="str">
        <f aca="false">IF(ABS(L34-1)&gt;0.2,IF(L34&lt;0.8,"Faible","Fort"),IF(OR(M34&lt;0.67,M34&gt;1.5),"Dérive","OK"))</f>
        <v>OK</v>
      </c>
    </row>
    <row r="35" customFormat="false" ht="23.85" hidden="false" customHeight="false" outlineLevel="0" collapsed="false">
      <c r="A35" s="16" t="n">
        <v>34</v>
      </c>
      <c r="B35" s="38" t="s">
        <v>103</v>
      </c>
      <c r="C35" s="16" t="s">
        <v>104</v>
      </c>
      <c r="D35" s="39" t="n">
        <v>0.8</v>
      </c>
      <c r="E35" s="39" t="n">
        <v>3</v>
      </c>
      <c r="F35" s="39" t="n">
        <v>25</v>
      </c>
      <c r="G35" s="40" t="s">
        <v>197</v>
      </c>
      <c r="H35" s="19" t="n">
        <f aca="false">100*$D35*MIN(1,$E35*Modèle!$C$23/$F35)+3</f>
        <v>51</v>
      </c>
      <c r="I35" s="19" t="n">
        <f aca="false">100*$D35*MIN(1,$E35*Modèle!$D$23/$F35)+3</f>
        <v>51</v>
      </c>
      <c r="J35" s="19" t="n">
        <f aca="false">100*$D35*MIN(1,$E35*Modèle!$E$23/$F35)+3</f>
        <v>51</v>
      </c>
      <c r="K35" s="41" t="n">
        <f aca="false">Modèle!$D$2*INDEX(Drops!$E$14:$E$17,MATCH(C35,Drops!$A$14:$A$17,0))</f>
        <v>50</v>
      </c>
      <c r="L35" s="22" t="n">
        <f aca="false">I35/K35</f>
        <v>1.02</v>
      </c>
      <c r="M35" s="22" t="n">
        <f aca="false">J35/H35</f>
        <v>1</v>
      </c>
      <c r="N35" s="16" t="str">
        <f aca="false">IF(ABS(L35-1)&gt;0.2,IF(L35&lt;0.8,"Faible","Fort"),IF(OR(M35&lt;0.67,M35&gt;1.5),"Dérive","OK"))</f>
        <v>OK</v>
      </c>
    </row>
    <row r="36" customFormat="false" ht="15" hidden="false" customHeight="false" outlineLevel="0" collapsed="false">
      <c r="A36" s="16" t="n">
        <v>35</v>
      </c>
      <c r="B36" s="38" t="s">
        <v>107</v>
      </c>
      <c r="C36" s="16" t="s">
        <v>104</v>
      </c>
      <c r="D36" s="39" t="n">
        <v>0.7</v>
      </c>
      <c r="E36" s="39" t="n">
        <v>0.5</v>
      </c>
      <c r="F36" s="16"/>
      <c r="G36" s="40" t="s">
        <v>198</v>
      </c>
      <c r="H36" s="19" t="n">
        <f aca="false">100*($D36+$E36*Modèle!$C$22)*Modèle!$C$9</f>
        <v>43.1351351351351</v>
      </c>
      <c r="I36" s="19" t="n">
        <f aca="false">100*($D36+$E36*Modèle!$D$22)*Modèle!$D$9</f>
        <v>47.9594594594595</v>
      </c>
      <c r="J36" s="19" t="n">
        <f aca="false">100*($D36+$E36*Modèle!$E$22)*Modèle!$E$9</f>
        <v>53.6351351351351</v>
      </c>
      <c r="K36" s="41" t="n">
        <f aca="false">Modèle!$D$2*INDEX(Drops!$E$14:$E$17,MATCH(C36,Drops!$A$14:$A$17,0))</f>
        <v>50</v>
      </c>
      <c r="L36" s="22" t="n">
        <f aca="false">I36/K36</f>
        <v>0.959189189189189</v>
      </c>
      <c r="M36" s="22" t="n">
        <f aca="false">J36/H36</f>
        <v>1.24342105263158</v>
      </c>
      <c r="N36" s="16" t="str">
        <f aca="false">IF(ABS(L36-1)&gt;0.2,IF(L36&lt;0.8,"Faible","Fort"),IF(OR(M36&lt;0.67,M36&gt;1.5),"Dérive","OK"))</f>
        <v>OK</v>
      </c>
    </row>
    <row r="37" customFormat="false" ht="15" hidden="false" customHeight="false" outlineLevel="0" collapsed="false">
      <c r="A37" s="16" t="n">
        <v>36</v>
      </c>
      <c r="B37" s="38" t="s">
        <v>109</v>
      </c>
      <c r="C37" s="16" t="s">
        <v>104</v>
      </c>
      <c r="D37" s="39" t="n">
        <v>0.3</v>
      </c>
      <c r="E37" s="39" t="n">
        <v>4</v>
      </c>
      <c r="F37" s="16"/>
      <c r="G37" s="40" t="s">
        <v>199</v>
      </c>
      <c r="H37" s="19" t="n">
        <f aca="false">100*Modèle!$C$31*$D37*$E37</f>
        <v>48</v>
      </c>
      <c r="I37" s="19" t="n">
        <f aca="false">100*Modèle!$D$31*$D37*$E37</f>
        <v>48</v>
      </c>
      <c r="J37" s="19" t="n">
        <f aca="false">100*Modèle!$E$31*$D37*$E37</f>
        <v>48</v>
      </c>
      <c r="K37" s="41" t="n">
        <f aca="false">Modèle!$D$2*INDEX(Drops!$E$14:$E$17,MATCH(C37,Drops!$A$14:$A$17,0))</f>
        <v>50</v>
      </c>
      <c r="L37" s="22" t="n">
        <f aca="false">I37/K37</f>
        <v>0.96</v>
      </c>
      <c r="M37" s="22" t="n">
        <f aca="false">J37/H37</f>
        <v>1</v>
      </c>
      <c r="N37" s="16" t="str">
        <f aca="false">IF(ABS(L37-1)&gt;0.2,IF(L37&lt;0.8,"Faible","Fort"),IF(OR(M37&lt;0.67,M37&gt;1.5),"Dérive","OK"))</f>
        <v>OK</v>
      </c>
    </row>
    <row r="38" customFormat="false" ht="15" hidden="false" customHeight="false" outlineLevel="0" collapsed="false">
      <c r="A38" s="16" t="n">
        <v>37</v>
      </c>
      <c r="B38" s="38" t="s">
        <v>112</v>
      </c>
      <c r="C38" s="16" t="s">
        <v>104</v>
      </c>
      <c r="D38" s="39" t="n">
        <v>0.75</v>
      </c>
      <c r="E38" s="16"/>
      <c r="F38" s="16"/>
      <c r="G38" s="40" t="s">
        <v>200</v>
      </c>
      <c r="H38" s="19" t="n">
        <f aca="false">100*$D38*Modèle!$C$30</f>
        <v>48.75</v>
      </c>
      <c r="I38" s="19" t="n">
        <f aca="false">100*$D38*Modèle!$D$30</f>
        <v>48.75</v>
      </c>
      <c r="J38" s="19" t="n">
        <f aca="false">100*$D38*Modèle!$E$30</f>
        <v>48.75</v>
      </c>
      <c r="K38" s="41" t="n">
        <f aca="false">Modèle!$D$2*INDEX(Drops!$E$14:$E$17,MATCH(C38,Drops!$A$14:$A$17,0))</f>
        <v>50</v>
      </c>
      <c r="L38" s="22" t="n">
        <f aca="false">I38/K38</f>
        <v>0.975</v>
      </c>
      <c r="M38" s="22" t="n">
        <f aca="false">J38/H38</f>
        <v>1</v>
      </c>
      <c r="N38" s="16" t="str">
        <f aca="false">IF(ABS(L38-1)&gt;0.2,IF(L38&lt;0.8,"Faible","Fort"),IF(OR(M38&lt;0.67,M38&gt;1.5),"Dérive","OK"))</f>
        <v>OK</v>
      </c>
    </row>
    <row r="39" customFormat="false" ht="15" hidden="false" customHeight="false" outlineLevel="0" collapsed="false">
      <c r="A39" s="16" t="n">
        <v>38</v>
      </c>
      <c r="B39" s="38" t="s">
        <v>114</v>
      </c>
      <c r="C39" s="16" t="s">
        <v>104</v>
      </c>
      <c r="D39" s="39" t="n">
        <v>0.25</v>
      </c>
      <c r="E39" s="39" t="n">
        <v>4</v>
      </c>
      <c r="F39" s="16"/>
      <c r="G39" s="40" t="s">
        <v>199</v>
      </c>
      <c r="H39" s="19" t="n">
        <f aca="false">100*Modèle!$C$32*$D39*$E39+5</f>
        <v>45</v>
      </c>
      <c r="I39" s="19" t="n">
        <f aca="false">100*Modèle!$D$32*$D39*$E39+5</f>
        <v>45</v>
      </c>
      <c r="J39" s="19" t="n">
        <f aca="false">100*Modèle!$E$32*$D39*$E39+5</f>
        <v>45</v>
      </c>
      <c r="K39" s="41" t="n">
        <f aca="false">Modèle!$D$2*INDEX(Drops!$E$14:$E$17,MATCH(C39,Drops!$A$14:$A$17,0))</f>
        <v>50</v>
      </c>
      <c r="L39" s="22" t="n">
        <f aca="false">I39/K39</f>
        <v>0.9</v>
      </c>
      <c r="M39" s="22" t="n">
        <f aca="false">J39/H39</f>
        <v>1</v>
      </c>
      <c r="N39" s="16" t="str">
        <f aca="false">IF(ABS(L39-1)&gt;0.2,IF(L39&lt;0.8,"Faible","Fort"),IF(OR(M39&lt;0.67,M39&gt;1.5),"Dérive","OK"))</f>
        <v>OK</v>
      </c>
    </row>
    <row r="40" customFormat="false" ht="15" hidden="false" customHeight="false" outlineLevel="0" collapsed="false">
      <c r="A40" s="16" t="n">
        <v>39</v>
      </c>
      <c r="B40" s="38" t="s">
        <v>118</v>
      </c>
      <c r="C40" s="16" t="s">
        <v>104</v>
      </c>
      <c r="D40" s="39" t="n">
        <v>0.25</v>
      </c>
      <c r="E40" s="39" t="n">
        <v>3</v>
      </c>
      <c r="F40" s="16"/>
      <c r="G40" s="40" t="s">
        <v>165</v>
      </c>
      <c r="H40" s="19" t="n">
        <f aca="false">100*((1+(Modèle!$C$14+$D40)*($E40-1))/(1+Modèle!$C$14*(Modèle!$C$15-1))-1)</f>
        <v>52.3809523809524</v>
      </c>
      <c r="I40" s="19" t="n">
        <f aca="false">100*((1+(Modèle!$D$14+$D40)*($E40-1))/(1+Modèle!$D$14*(Modèle!$D$15-1))-1)</f>
        <v>52.3809523809524</v>
      </c>
      <c r="J40" s="19" t="n">
        <f aca="false">100*((1+(Modèle!$E$14+$D40)*($E40-1))/(1+Modèle!$E$14*(Modèle!$E$15-1))-1)</f>
        <v>52.3809523809524</v>
      </c>
      <c r="K40" s="41" t="n">
        <f aca="false">Modèle!$D$2*INDEX(Drops!$E$14:$E$17,MATCH(C40,Drops!$A$14:$A$17,0))</f>
        <v>50</v>
      </c>
      <c r="L40" s="22" t="n">
        <f aca="false">I40/K40</f>
        <v>1.04761904761905</v>
      </c>
      <c r="M40" s="22" t="n">
        <f aca="false">J40/H40</f>
        <v>1</v>
      </c>
      <c r="N40" s="16" t="str">
        <f aca="false">IF(ABS(L40-1)&gt;0.2,IF(L40&lt;0.8,"Faible","Fort"),IF(OR(M40&lt;0.67,M40&gt;1.5),"Dérive","OK"))</f>
        <v>OK</v>
      </c>
    </row>
    <row r="41" customFormat="false" ht="15" hidden="false" customHeight="false" outlineLevel="0" collapsed="false">
      <c r="A41" s="16" t="n">
        <v>40</v>
      </c>
      <c r="B41" s="38" t="s">
        <v>121</v>
      </c>
      <c r="C41" s="16" t="s">
        <v>104</v>
      </c>
      <c r="D41" s="39" t="n">
        <v>2</v>
      </c>
      <c r="E41" s="39" t="n">
        <v>3.4</v>
      </c>
      <c r="F41" s="16"/>
      <c r="G41" s="40" t="s">
        <v>201</v>
      </c>
      <c r="H41" s="19" t="n">
        <f aca="false">100*$D41/$E41*Modèle!$C$21/Modèle!$C$18</f>
        <v>53.475935828877</v>
      </c>
      <c r="I41" s="19" t="n">
        <f aca="false">100*$D41/$E41*Modèle!$D$21/Modèle!$D$18</f>
        <v>44.08151466975</v>
      </c>
      <c r="J41" s="19" t="n">
        <f aca="false">100*$D41/$E41*Modèle!$E$21/Modèle!$E$18</f>
        <v>43.38098875914</v>
      </c>
      <c r="K41" s="41" t="n">
        <f aca="false">Modèle!$D$2*INDEX(Drops!$E$14:$E$17,MATCH(C41,Drops!$A$14:$A$17,0))</f>
        <v>50</v>
      </c>
      <c r="L41" s="22" t="n">
        <f aca="false">I41/K41</f>
        <v>0.881630293394999</v>
      </c>
      <c r="M41" s="22" t="n">
        <f aca="false">J41/H41</f>
        <v>0.811224489795918</v>
      </c>
      <c r="N41" s="16" t="str">
        <f aca="false">IF(ABS(L41-1)&gt;0.2,IF(L41&lt;0.8,"Faible","Fort"),IF(OR(M41&lt;0.67,M41&gt;1.5),"Dérive","OK"))</f>
        <v>OK</v>
      </c>
    </row>
    <row r="42" customFormat="false" ht="23.85" hidden="false" customHeight="false" outlineLevel="0" collapsed="false">
      <c r="A42" s="16" t="n">
        <v>41</v>
      </c>
      <c r="B42" s="38" t="s">
        <v>124</v>
      </c>
      <c r="C42" s="16" t="s">
        <v>104</v>
      </c>
      <c r="D42" s="39" t="n">
        <v>1</v>
      </c>
      <c r="E42" s="39" t="n">
        <v>0.15</v>
      </c>
      <c r="F42" s="39" t="n">
        <v>6</v>
      </c>
      <c r="G42" s="40" t="s">
        <v>202</v>
      </c>
      <c r="H42" s="19" t="n">
        <f aca="false">(((Drops!$B$5^($D42+1)*Drops!$E$14+((Drops!$B$5+Drops!$C$5)^($D42+1)-Drops!$B$5^($D42+1))*Drops!$E$15+((Drops!$B$5+Drops!$C$5+Drops!$D$5)^($D42+1)-(Drops!$B$5+Drops!$C$5)^($D42+1))*Drops!$E$16+(1-(Drops!$B$5+Drops!$C$5+Drops!$D$5)^($D42+1))*Drops!$E$17)-(Drops!$B$5^(1)*Drops!$E$14+((Drops!$B$5+Drops!$C$5)^(1)-Drops!$B$5^(1))*Drops!$E$15+((Drops!$B$5+Drops!$C$5+Drops!$D$5)^(1)-(Drops!$B$5+Drops!$C$5)^(1))*Drops!$E$16+(1-(Drops!$B$5+Drops!$C$5+Drops!$D$5)^(1))*Drops!$E$17))*Modèle!$C$46*Modèle!$C$2)+100*$E42*Modèle!$C$38+$F42</f>
        <v>58.6542000000001</v>
      </c>
      <c r="I42" s="19" t="n">
        <f aca="false">(((Drops!$B$5^($D42+1)*Drops!$E$14+((Drops!$B$5+Drops!$C$5)^($D42+1)-Drops!$B$5^($D42+1))*Drops!$E$15+((Drops!$B$5+Drops!$C$5+Drops!$D$5)^($D42+1)-(Drops!$B$5+Drops!$C$5)^($D42+1))*Drops!$E$16+(1-(Drops!$B$5+Drops!$C$5+Drops!$D$5)^($D42+1))*Drops!$E$17)-(Drops!$B$5^(1)*Drops!$E$14+((Drops!$B$5+Drops!$C$5)^(1)-Drops!$B$5^(1))*Drops!$E$15+((Drops!$B$5+Drops!$C$5+Drops!$D$5)^(1)-(Drops!$B$5+Drops!$C$5)^(1))*Drops!$E$16+(1-(Drops!$B$5+Drops!$C$5+Drops!$D$5)^(1))*Drops!$E$17))*Modèle!$D$46*Modèle!$D$2)+100*$E42*Modèle!$D$38+$F42</f>
        <v>58.6542000000001</v>
      </c>
      <c r="J42" s="19" t="n">
        <f aca="false">(((Drops!$B$5^($D42+1)*Drops!$E$14+((Drops!$B$5+Drops!$C$5)^($D42+1)-Drops!$B$5^($D42+1))*Drops!$E$15+((Drops!$B$5+Drops!$C$5+Drops!$D$5)^($D42+1)-(Drops!$B$5+Drops!$C$5)^($D42+1))*Drops!$E$16+(1-(Drops!$B$5+Drops!$C$5+Drops!$D$5)^($D42+1))*Drops!$E$17)-(Drops!$B$5^(1)*Drops!$E$14+((Drops!$B$5+Drops!$C$5)^(1)-Drops!$B$5^(1))*Drops!$E$15+((Drops!$B$5+Drops!$C$5+Drops!$D$5)^(1)-(Drops!$B$5+Drops!$C$5)^(1))*Drops!$E$16+(1-(Drops!$B$5+Drops!$C$5+Drops!$D$5)^(1))*Drops!$E$17))*Modèle!$E$46*Modèle!$E$2)+100*$E42*Modèle!$E$38+$F42</f>
        <v>58.6542000000001</v>
      </c>
      <c r="K42" s="41" t="n">
        <f aca="false">Modèle!$D$2*INDEX(Drops!$E$14:$E$17,MATCH(C42,Drops!$A$14:$A$17,0))</f>
        <v>50</v>
      </c>
      <c r="L42" s="22" t="n">
        <f aca="false">I42/K42</f>
        <v>1.173084</v>
      </c>
      <c r="M42" s="22" t="n">
        <f aca="false">J42/H42</f>
        <v>1</v>
      </c>
      <c r="N42" s="16" t="str">
        <f aca="false">IF(ABS(L42-1)&gt;0.2,IF(L42&lt;0.8,"Faible","Fort"),IF(OR(M42&lt;0.67,M42&gt;1.5),"Dérive","OK"))</f>
        <v>OK</v>
      </c>
    </row>
    <row r="43" customFormat="false" ht="15" hidden="false" customHeight="false" outlineLevel="0" collapsed="false">
      <c r="A43" s="16" t="n">
        <v>42</v>
      </c>
      <c r="B43" s="38" t="s">
        <v>128</v>
      </c>
      <c r="C43" s="16" t="s">
        <v>104</v>
      </c>
      <c r="D43" s="39" t="n">
        <v>0.75</v>
      </c>
      <c r="E43" s="16"/>
      <c r="F43" s="16"/>
      <c r="G43" s="40" t="s">
        <v>203</v>
      </c>
      <c r="H43" s="19" t="n">
        <f aca="false">100*$D43*Modèle!$C$28</f>
        <v>48.75</v>
      </c>
      <c r="I43" s="19" t="n">
        <f aca="false">100*$D43*Modèle!$D$28</f>
        <v>48.75</v>
      </c>
      <c r="J43" s="19" t="n">
        <f aca="false">100*$D43*Modèle!$E$28</f>
        <v>48.75</v>
      </c>
      <c r="K43" s="41" t="n">
        <f aca="false">Modèle!$D$2*INDEX(Drops!$E$14:$E$17,MATCH(C43,Drops!$A$14:$A$17,0))</f>
        <v>50</v>
      </c>
      <c r="L43" s="22" t="n">
        <f aca="false">I43/K43</f>
        <v>0.975</v>
      </c>
      <c r="M43" s="22" t="n">
        <f aca="false">J43/H43</f>
        <v>1</v>
      </c>
      <c r="N43" s="16" t="str">
        <f aca="false">IF(ABS(L43-1)&gt;0.2,IF(L43&lt;0.8,"Faible","Fort"),IF(OR(M43&lt;0.67,M43&gt;1.5),"Dérive","OK"))</f>
        <v>OK</v>
      </c>
    </row>
    <row r="44" customFormat="false" ht="15" hidden="false" customHeight="false" outlineLevel="0" collapsed="false">
      <c r="A44" s="16" t="n">
        <v>43</v>
      </c>
      <c r="B44" s="38" t="s">
        <v>130</v>
      </c>
      <c r="C44" s="16" t="s">
        <v>104</v>
      </c>
      <c r="D44" s="39" t="n">
        <v>0.5</v>
      </c>
      <c r="E44" s="16"/>
      <c r="F44" s="16"/>
      <c r="G44" s="40" t="s">
        <v>204</v>
      </c>
      <c r="H44" s="19" t="n">
        <f aca="false">100*$D44</f>
        <v>50</v>
      </c>
      <c r="I44" s="19" t="n">
        <f aca="false">100*$D44</f>
        <v>50</v>
      </c>
      <c r="J44" s="19" t="n">
        <f aca="false">100*$D44</f>
        <v>50</v>
      </c>
      <c r="K44" s="41" t="n">
        <f aca="false">Modèle!$D$2*INDEX(Drops!$E$14:$E$17,MATCH(C44,Drops!$A$14:$A$17,0))</f>
        <v>50</v>
      </c>
      <c r="L44" s="22" t="n">
        <f aca="false">I44/K44</f>
        <v>1</v>
      </c>
      <c r="M44" s="22" t="n">
        <f aca="false">J44/H44</f>
        <v>1</v>
      </c>
      <c r="N44" s="16" t="str">
        <f aca="false">IF(ABS(L44-1)&gt;0.2,IF(L44&lt;0.8,"Faible","Fort"),IF(OR(M44&lt;0.67,M44&gt;1.5),"Dérive","OK"))</f>
        <v>OK</v>
      </c>
    </row>
    <row r="45" customFormat="false" ht="23.85" hidden="false" customHeight="false" outlineLevel="0" collapsed="false">
      <c r="A45" s="16" t="n">
        <v>44</v>
      </c>
      <c r="B45" s="38" t="s">
        <v>132</v>
      </c>
      <c r="C45" s="16" t="s">
        <v>104</v>
      </c>
      <c r="D45" s="39" t="n">
        <v>0.4</v>
      </c>
      <c r="E45" s="39" t="n">
        <v>4</v>
      </c>
      <c r="F45" s="39" t="n">
        <v>3</v>
      </c>
      <c r="G45" s="40" t="s">
        <v>205</v>
      </c>
      <c r="H45" s="19" t="n">
        <f aca="false">100*((1+$D45)*(1+($F45-1)/$E45)-1)*Modèle!$C$8</f>
        <v>47.5675675675676</v>
      </c>
      <c r="I45" s="19" t="n">
        <f aca="false">100*((1+$D45)*(1+($F45-1)/$E45)-1)*Modèle!$D$8</f>
        <v>47.5675675675676</v>
      </c>
      <c r="J45" s="19" t="n">
        <f aca="false">100*((1+$D45)*(1+($F45-1)/$E45)-1)*Modèle!$E$8</f>
        <v>47.5675675675676</v>
      </c>
      <c r="K45" s="41" t="n">
        <f aca="false">Modèle!$D$2*INDEX(Drops!$E$14:$E$17,MATCH(C45,Drops!$A$14:$A$17,0))</f>
        <v>50</v>
      </c>
      <c r="L45" s="22" t="n">
        <f aca="false">I45/K45</f>
        <v>0.951351351351351</v>
      </c>
      <c r="M45" s="22" t="n">
        <f aca="false">J45/H45</f>
        <v>1</v>
      </c>
      <c r="N45" s="16" t="str">
        <f aca="false">IF(ABS(L45-1)&gt;0.2,IF(L45&lt;0.8,"Faible","Fort"),IF(OR(M45&lt;0.67,M45&gt;1.5),"Dérive","OK"))</f>
        <v>OK</v>
      </c>
    </row>
    <row r="46" customFormat="false" ht="15" hidden="false" customHeight="false" outlineLevel="0" collapsed="false">
      <c r="A46" s="23" t="n">
        <v>45</v>
      </c>
      <c r="B46" s="42" t="s">
        <v>134</v>
      </c>
      <c r="C46" s="23" t="s">
        <v>135</v>
      </c>
      <c r="D46" s="43" t="n">
        <v>2</v>
      </c>
      <c r="E46" s="23"/>
      <c r="F46" s="23"/>
      <c r="G46" s="44" t="s">
        <v>206</v>
      </c>
      <c r="H46" s="26" t="n">
        <f aca="false">100*(1/($D46*Modèle!$C$43)/(1/Modèle!$C$44))*Modèle!$C$9</f>
        <v>104.054054054054</v>
      </c>
      <c r="I46" s="26" t="n">
        <f aca="false">100*(1/($D46*Modèle!$D$43)/(1/Modèle!$D$44))*Modèle!$D$9</f>
        <v>104.054054054054</v>
      </c>
      <c r="J46" s="26" t="n">
        <f aca="false">100*(1/($D46*Modèle!$E$43)/(1/Modèle!$E$44))*Modèle!$E$9</f>
        <v>104.054054054054</v>
      </c>
      <c r="K46" s="45" t="n">
        <f aca="false">Modèle!$D$2*INDEX(Drops!$E$14:$E$17,MATCH(C46,Drops!$A$14:$A$17,0))</f>
        <v>120</v>
      </c>
      <c r="L46" s="29" t="n">
        <f aca="false">I46/K46</f>
        <v>0.867117117117117</v>
      </c>
      <c r="M46" s="29" t="n">
        <f aca="false">J46/H46</f>
        <v>1</v>
      </c>
      <c r="N46" s="23" t="str">
        <f aca="false">IF(ABS(L46-1)&gt;0.2,IF(L46&lt;0.8,"Faible","Fort"),IF(OR(M46&lt;0.67,M46&gt;1.5),"Dérive","OK"))</f>
        <v>OK</v>
      </c>
    </row>
    <row r="47" customFormat="false" ht="15" hidden="false" customHeight="false" outlineLevel="0" collapsed="false">
      <c r="A47" s="23" t="n">
        <v>46</v>
      </c>
      <c r="B47" s="42" t="s">
        <v>137</v>
      </c>
      <c r="C47" s="23" t="s">
        <v>135</v>
      </c>
      <c r="D47" s="43" t="n">
        <v>3</v>
      </c>
      <c r="E47" s="23"/>
      <c r="F47" s="23"/>
      <c r="G47" s="44" t="s">
        <v>207</v>
      </c>
      <c r="H47" s="26" t="n">
        <f aca="false">100*$D47*Modèle!$C$8</f>
        <v>129.72972972973</v>
      </c>
      <c r="I47" s="26" t="n">
        <f aca="false">100*$D47*Modèle!$D$8</f>
        <v>129.72972972973</v>
      </c>
      <c r="J47" s="26" t="n">
        <f aca="false">100*$D47*Modèle!$E$8</f>
        <v>129.72972972973</v>
      </c>
      <c r="K47" s="45" t="n">
        <f aca="false">Modèle!$D$2*INDEX(Drops!$E$14:$E$17,MATCH(C47,Drops!$A$14:$A$17,0))</f>
        <v>120</v>
      </c>
      <c r="L47" s="29" t="n">
        <f aca="false">I47/K47</f>
        <v>1.08108108108108</v>
      </c>
      <c r="M47" s="29" t="n">
        <f aca="false">J47/H47</f>
        <v>1</v>
      </c>
      <c r="N47" s="23" t="str">
        <f aca="false">IF(ABS(L47-1)&gt;0.2,IF(L47&lt;0.8,"Faible","Fort"),IF(OR(M47&lt;0.67,M47&gt;1.5),"Dérive","OK"))</f>
        <v>OK</v>
      </c>
    </row>
    <row r="48" customFormat="false" ht="23.85" hidden="false" customHeight="false" outlineLevel="0" collapsed="false">
      <c r="A48" s="23" t="n">
        <v>47</v>
      </c>
      <c r="B48" s="42" t="s">
        <v>140</v>
      </c>
      <c r="C48" s="23" t="s">
        <v>135</v>
      </c>
      <c r="D48" s="43" t="n">
        <v>4</v>
      </c>
      <c r="E48" s="43" t="n">
        <v>4</v>
      </c>
      <c r="F48" s="43" t="n">
        <v>30</v>
      </c>
      <c r="G48" s="44" t="s">
        <v>208</v>
      </c>
      <c r="H48" s="26" t="n">
        <f aca="false">100*($E48/$D48)/Modèle!$C$7*Modèle!$C$13+$F48</f>
        <v>111.081081081081</v>
      </c>
      <c r="I48" s="26" t="n">
        <f aca="false">100*($E48/$D48)/Modèle!$D$7*Modèle!$D$13+$F48</f>
        <v>111.081081081081</v>
      </c>
      <c r="J48" s="26" t="n">
        <f aca="false">100*($E48/$D48)/Modèle!$E$7*Modèle!$E$13+$F48</f>
        <v>111.081081081081</v>
      </c>
      <c r="K48" s="45" t="n">
        <f aca="false">Modèle!$D$2*INDEX(Drops!$E$14:$E$17,MATCH(C48,Drops!$A$14:$A$17,0))</f>
        <v>120</v>
      </c>
      <c r="L48" s="29" t="n">
        <f aca="false">I48/K48</f>
        <v>0.925675675675676</v>
      </c>
      <c r="M48" s="29" t="n">
        <f aca="false">J48/H48</f>
        <v>1</v>
      </c>
      <c r="N48" s="23" t="str">
        <f aca="false">IF(ABS(L48-1)&gt;0.2,IF(L48&lt;0.8,"Faible","Fort"),IF(OR(M48&lt;0.67,M48&gt;1.5),"Dérive","OK"))</f>
        <v>OK</v>
      </c>
    </row>
    <row r="49" customFormat="false" ht="15" hidden="false" customHeight="false" outlineLevel="0" collapsed="false">
      <c r="A49" s="23" t="n">
        <v>48</v>
      </c>
      <c r="B49" s="42" t="s">
        <v>144</v>
      </c>
      <c r="C49" s="23" t="s">
        <v>135</v>
      </c>
      <c r="D49" s="43" t="n">
        <v>0.6</v>
      </c>
      <c r="E49" s="43" t="n">
        <v>0.25</v>
      </c>
      <c r="F49" s="43" t="n">
        <v>0.1</v>
      </c>
      <c r="G49" s="44" t="s">
        <v>209</v>
      </c>
      <c r="H49" s="26" t="n">
        <f aca="false">100*((1+$D49)/(1-$E49)-1)-100*$F49</f>
        <v>103.333333333333</v>
      </c>
      <c r="I49" s="26" t="n">
        <f aca="false">100*((1+$D49)/(1-$E49)-1)-100*$F49</f>
        <v>103.333333333333</v>
      </c>
      <c r="J49" s="26" t="n">
        <f aca="false">100*((1+$D49)/(1-$E49)-1)-100*$F49</f>
        <v>103.333333333333</v>
      </c>
      <c r="K49" s="45" t="n">
        <f aca="false">Modèle!$D$2*INDEX(Drops!$E$14:$E$17,MATCH(C49,Drops!$A$14:$A$17,0))</f>
        <v>120</v>
      </c>
      <c r="L49" s="29" t="n">
        <f aca="false">I49/K49</f>
        <v>0.861111111111111</v>
      </c>
      <c r="M49" s="29" t="n">
        <f aca="false">J49/H49</f>
        <v>1</v>
      </c>
      <c r="N49" s="23" t="str">
        <f aca="false">IF(ABS(L49-1)&gt;0.2,IF(L49&lt;0.8,"Faible","Fort"),IF(OR(M49&lt;0.67,M49&gt;1.5),"Dérive","OK"))</f>
        <v>OK</v>
      </c>
    </row>
    <row r="50" customFormat="false" ht="15" hidden="false" customHeight="false" outlineLevel="0" collapsed="false">
      <c r="A50" s="23" t="n">
        <v>49</v>
      </c>
      <c r="B50" s="42" t="s">
        <v>147</v>
      </c>
      <c r="C50" s="23" t="s">
        <v>135</v>
      </c>
      <c r="D50" s="43" t="n">
        <v>0.002</v>
      </c>
      <c r="E50" s="43" t="n">
        <v>1.2</v>
      </c>
      <c r="F50" s="23"/>
      <c r="G50" s="44" t="s">
        <v>210</v>
      </c>
      <c r="H50" s="26" t="n">
        <f aca="false">100*MIN($E50,$D50*Modèle!$C$45)</f>
        <v>120</v>
      </c>
      <c r="I50" s="26" t="n">
        <f aca="false">100*MIN($E50,$D50*Modèle!$D$45)</f>
        <v>120</v>
      </c>
      <c r="J50" s="26" t="n">
        <f aca="false">100*MIN($E50,$D50*Modèle!$E$45)</f>
        <v>120</v>
      </c>
      <c r="K50" s="45" t="n">
        <f aca="false">Modèle!$D$2*INDEX(Drops!$E$14:$E$17,MATCH(C50,Drops!$A$14:$A$17,0))</f>
        <v>120</v>
      </c>
      <c r="L50" s="29" t="n">
        <f aca="false">I50/K50</f>
        <v>1</v>
      </c>
      <c r="M50" s="29" t="n">
        <f aca="false">J50/H50</f>
        <v>1</v>
      </c>
      <c r="N50" s="23" t="str">
        <f aca="false">IF(ABS(L50-1)&gt;0.2,IF(L50&lt;0.8,"Faible","Fort"),IF(OR(M50&lt;0.67,M50&gt;1.5),"Dérive","OK"))</f>
        <v>OK</v>
      </c>
    </row>
    <row r="51" customFormat="false" ht="15" hidden="false" customHeight="false" outlineLevel="0" collapsed="false">
      <c r="A51" s="23" t="n">
        <v>50</v>
      </c>
      <c r="B51" s="42" t="s">
        <v>150</v>
      </c>
      <c r="C51" s="23" t="s">
        <v>135</v>
      </c>
      <c r="D51" s="43" t="n">
        <v>3</v>
      </c>
      <c r="E51" s="23"/>
      <c r="F51" s="23"/>
      <c r="G51" s="44" t="s">
        <v>211</v>
      </c>
      <c r="H51" s="26" t="n">
        <f aca="false">(((Drops!$B$5^($D51+1)*Drops!$E$14+((Drops!$B$5+Drops!$C$5)^($D51+1)-Drops!$B$5^($D51+1))*Drops!$E$15+((Drops!$B$5+Drops!$C$5+Drops!$D$5)^($D51+1)-(Drops!$B$5+Drops!$C$5)^($D51+1))*Drops!$E$16+(1-(Drops!$B$5+Drops!$C$5+Drops!$D$5)^($D51+1))*Drops!$E$17)-(Drops!$B$5^(1)*Drops!$E$14+((Drops!$B$5+Drops!$C$5)^(1)-Drops!$B$5^(1))*Drops!$E$15+((Drops!$B$5+Drops!$C$5+Drops!$D$5)^(1)-(Drops!$B$5+Drops!$C$5)^(1))*Drops!$E$16+(1-(Drops!$B$5+Drops!$C$5+Drops!$D$5)^(1))*Drops!$E$17))*Modèle!$C$46*Modèle!$C$2)+5</f>
        <v>125.63668778</v>
      </c>
      <c r="I51" s="26" t="n">
        <f aca="false">(((Drops!$B$5^($D51+1)*Drops!$E$14+((Drops!$B$5+Drops!$C$5)^($D51+1)-Drops!$B$5^($D51+1))*Drops!$E$15+((Drops!$B$5+Drops!$C$5+Drops!$D$5)^($D51+1)-(Drops!$B$5+Drops!$C$5)^($D51+1))*Drops!$E$16+(1-(Drops!$B$5+Drops!$C$5+Drops!$D$5)^($D51+1))*Drops!$E$17)-(Drops!$B$5^(1)*Drops!$E$14+((Drops!$B$5+Drops!$C$5)^(1)-Drops!$B$5^(1))*Drops!$E$15+((Drops!$B$5+Drops!$C$5+Drops!$D$5)^(1)-(Drops!$B$5+Drops!$C$5)^(1))*Drops!$E$16+(1-(Drops!$B$5+Drops!$C$5+Drops!$D$5)^(1))*Drops!$E$17))*Modèle!$D$46*Modèle!$D$2)+5</f>
        <v>125.63668778</v>
      </c>
      <c r="J51" s="26" t="n">
        <f aca="false">(((Drops!$B$5^($D51+1)*Drops!$E$14+((Drops!$B$5+Drops!$C$5)^($D51+1)-Drops!$B$5^($D51+1))*Drops!$E$15+((Drops!$B$5+Drops!$C$5+Drops!$D$5)^($D51+1)-(Drops!$B$5+Drops!$C$5)^($D51+1))*Drops!$E$16+(1-(Drops!$B$5+Drops!$C$5+Drops!$D$5)^($D51+1))*Drops!$E$17)-(Drops!$B$5^(1)*Drops!$E$14+((Drops!$B$5+Drops!$C$5)^(1)-Drops!$B$5^(1))*Drops!$E$15+((Drops!$B$5+Drops!$C$5+Drops!$D$5)^(1)-(Drops!$B$5+Drops!$C$5)^(1))*Drops!$E$16+(1-(Drops!$B$5+Drops!$C$5+Drops!$D$5)^(1))*Drops!$E$17))*Modèle!$E$46*Modèle!$E$2)+5</f>
        <v>125.63668778</v>
      </c>
      <c r="K51" s="45" t="n">
        <f aca="false">Modèle!$D$2*INDEX(Drops!$E$14:$E$17,MATCH(C51,Drops!$A$14:$A$17,0))</f>
        <v>120</v>
      </c>
      <c r="L51" s="29" t="n">
        <f aca="false">I51/K51</f>
        <v>1.04697239816667</v>
      </c>
      <c r="M51" s="29" t="n">
        <f aca="false">J51/H51</f>
        <v>1</v>
      </c>
      <c r="N51" s="23" t="str">
        <f aca="false">IF(ABS(L51-1)&gt;0.2,IF(L51&lt;0.8,"Faible","Fort"),IF(OR(M51&lt;0.67,M51&gt;1.5),"Dérive","OK"))</f>
        <v>OK</v>
      </c>
    </row>
    <row r="53" customFormat="false" ht="15" hidden="false" customHeight="false" outlineLevel="0" collapsed="false">
      <c r="B53" s="46" t="s">
        <v>212</v>
      </c>
    </row>
    <row r="54" customFormat="false" ht="15" hidden="false" customHeight="false" outlineLevel="0" collapsed="false">
      <c r="B54" s="47" t="s">
        <v>213</v>
      </c>
      <c r="C54" s="48" t="n">
        <f aca="false">COUNTIF(N2:N51,"OK")</f>
        <v>50</v>
      </c>
    </row>
    <row r="55" customFormat="false" ht="15" hidden="false" customHeight="false" outlineLevel="0" collapsed="false">
      <c r="B55" s="47" t="s">
        <v>214</v>
      </c>
      <c r="C55" s="48" t="n">
        <f aca="false">COUNTA(B2:B51)-COUNTIF(N2:N51,"OK")</f>
        <v>0</v>
      </c>
    </row>
    <row r="56" customFormat="false" ht="15" hidden="false" customHeight="false" outlineLevel="0" collapsed="false">
      <c r="B56" s="47" t="s">
        <v>215</v>
      </c>
      <c r="C56" s="49" t="n">
        <f aca="false">AVERAGEIF(C2:C51,"Commun",L2:L51)</f>
        <v>0.998036557648322</v>
      </c>
    </row>
    <row r="57" customFormat="false" ht="15" hidden="false" customHeight="false" outlineLevel="0" collapsed="false">
      <c r="B57" s="47" t="s">
        <v>216</v>
      </c>
      <c r="C57" s="49" t="n">
        <f aca="false">AVERAGEIF(C2:C51,"Peu commun",L2:L51)</f>
        <v>1.01280799803152</v>
      </c>
    </row>
    <row r="58" customFormat="false" ht="15" hidden="false" customHeight="false" outlineLevel="0" collapsed="false">
      <c r="B58" s="47" t="s">
        <v>217</v>
      </c>
      <c r="C58" s="49" t="n">
        <f aca="false">AVERAGEIF(C2:C51,"Rare",L2:L51)</f>
        <v>0.985715807414054</v>
      </c>
    </row>
    <row r="59" customFormat="false" ht="15" hidden="false" customHeight="false" outlineLevel="0" collapsed="false">
      <c r="B59" s="47" t="s">
        <v>218</v>
      </c>
      <c r="C59" s="49" t="n">
        <f aca="false">AVERAGEIF(C2:C51,"Légendaire",L2:L51)</f>
        <v>0.963659563858609</v>
      </c>
    </row>
    <row r="61" customFormat="false" ht="15" hidden="false" customHeight="false" outlineLevel="0" collapsed="false">
      <c r="B61" s="50" t="s">
        <v>219</v>
      </c>
    </row>
  </sheetData>
  <autoFilter ref="A1:N51"/>
  <conditionalFormatting sqref="N2:N51">
    <cfRule type="expression" priority="2" aboveAverage="0" equalAverage="0" bottom="0" percent="0" rank="0" text="" dxfId="10">
      <formula>N2="OK"</formula>
    </cfRule>
    <cfRule type="expression" priority="3" aboveAverage="0" equalAverage="0" bottom="0" percent="0" rank="0" text="" dxfId="11">
      <formula>N2&lt;&gt;"OK"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33.75" hidden="false" customHeight="true" outlineLevel="0" collapsed="false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35.05" hidden="false" customHeight="false" outlineLevel="0" collapsed="false">
      <c r="A2" s="51" t="s">
        <v>226</v>
      </c>
      <c r="B2" s="52" t="s">
        <v>227</v>
      </c>
      <c r="C2" s="53" t="n">
        <f aca="false">D2</f>
        <v>10</v>
      </c>
      <c r="D2" s="54" t="n">
        <v>10</v>
      </c>
      <c r="E2" s="53" t="n">
        <f aca="false">D2</f>
        <v>10</v>
      </c>
      <c r="F2" s="55" t="s">
        <v>228</v>
      </c>
    </row>
    <row r="3" customFormat="false" ht="15" hidden="false" customHeight="false" outlineLevel="0" collapsed="false">
      <c r="A3" s="51" t="s">
        <v>229</v>
      </c>
      <c r="B3" s="56" t="s">
        <v>230</v>
      </c>
      <c r="C3" s="53" t="n">
        <f aca="false">0.8/0.6</f>
        <v>1.33333333333333</v>
      </c>
      <c r="D3" s="53" t="n">
        <f aca="false">0.8/0.6</f>
        <v>1.33333333333333</v>
      </c>
      <c r="E3" s="53" t="n">
        <f aca="false">0.8/0.6</f>
        <v>1.33333333333333</v>
      </c>
      <c r="F3" s="55" t="s">
        <v>231</v>
      </c>
    </row>
    <row r="4" customFormat="false" ht="15" hidden="false" customHeight="false" outlineLevel="0" collapsed="false">
      <c r="A4" s="51" t="s">
        <v>232</v>
      </c>
      <c r="B4" s="56" t="s">
        <v>233</v>
      </c>
      <c r="C4" s="53" t="n">
        <f aca="false">6/8</f>
        <v>0.75</v>
      </c>
      <c r="D4" s="53" t="n">
        <f aca="false">6/8</f>
        <v>0.75</v>
      </c>
      <c r="E4" s="53" t="n">
        <f aca="false">6/8</f>
        <v>0.75</v>
      </c>
      <c r="F4" s="55" t="s">
        <v>231</v>
      </c>
    </row>
    <row r="5" customFormat="false" ht="15" hidden="false" customHeight="false" outlineLevel="0" collapsed="false">
      <c r="A5" s="51" t="s">
        <v>234</v>
      </c>
      <c r="B5" s="56" t="s">
        <v>235</v>
      </c>
      <c r="C5" s="53" t="n">
        <f aca="false">3/6</f>
        <v>0.5</v>
      </c>
      <c r="D5" s="53" t="n">
        <f aca="false">3/6</f>
        <v>0.5</v>
      </c>
      <c r="E5" s="53" t="n">
        <f aca="false">3/6</f>
        <v>0.5</v>
      </c>
      <c r="F5" s="55" t="s">
        <v>231</v>
      </c>
    </row>
    <row r="6" customFormat="false" ht="15" hidden="false" customHeight="false" outlineLevel="0" collapsed="false">
      <c r="A6" s="51" t="s">
        <v>236</v>
      </c>
      <c r="B6" s="56" t="s">
        <v>237</v>
      </c>
      <c r="C6" s="53" t="n">
        <f aca="false">10/20</f>
        <v>0.5</v>
      </c>
      <c r="D6" s="53" t="n">
        <f aca="false">10/20</f>
        <v>0.5</v>
      </c>
      <c r="E6" s="53" t="n">
        <f aca="false">10/20</f>
        <v>0.5</v>
      </c>
      <c r="F6" s="55" t="s">
        <v>231</v>
      </c>
    </row>
    <row r="7" customFormat="false" ht="15" hidden="false" customHeight="false" outlineLevel="0" collapsed="false">
      <c r="A7" s="51" t="s">
        <v>238</v>
      </c>
      <c r="B7" s="56" t="s">
        <v>239</v>
      </c>
      <c r="C7" s="53" t="n">
        <f aca="false">C3+C4+C5+C6</f>
        <v>3.08333333333333</v>
      </c>
      <c r="D7" s="53" t="n">
        <f aca="false">D3+D4+D5+D6</f>
        <v>3.08333333333333</v>
      </c>
      <c r="E7" s="53" t="n">
        <f aca="false">E3+E4+E5+E6</f>
        <v>3.08333333333333</v>
      </c>
      <c r="F7" s="55" t="s">
        <v>240</v>
      </c>
    </row>
    <row r="8" customFormat="false" ht="15" hidden="false" customHeight="false" outlineLevel="0" collapsed="false">
      <c r="A8" s="51" t="s">
        <v>241</v>
      </c>
      <c r="B8" s="56" t="s">
        <v>242</v>
      </c>
      <c r="C8" s="53" t="n">
        <f aca="false">C3/C7</f>
        <v>0.432432432432432</v>
      </c>
      <c r="D8" s="53" t="n">
        <f aca="false">D3/D7</f>
        <v>0.432432432432432</v>
      </c>
      <c r="E8" s="53" t="n">
        <f aca="false">E3/E7</f>
        <v>0.432432432432432</v>
      </c>
      <c r="F8" s="55" t="s">
        <v>243</v>
      </c>
    </row>
    <row r="9" customFormat="false" ht="15" hidden="false" customHeight="false" outlineLevel="0" collapsed="false">
      <c r="A9" s="51" t="s">
        <v>244</v>
      </c>
      <c r="B9" s="56" t="s">
        <v>245</v>
      </c>
      <c r="C9" s="53" t="n">
        <f aca="false">1-C8</f>
        <v>0.567567567567568</v>
      </c>
      <c r="D9" s="53" t="n">
        <f aca="false">1-D8</f>
        <v>0.567567567567568</v>
      </c>
      <c r="E9" s="53" t="n">
        <f aca="false">1-E8</f>
        <v>0.567567567567568</v>
      </c>
      <c r="F9" s="55" t="s">
        <v>243</v>
      </c>
    </row>
    <row r="10" customFormat="false" ht="15" hidden="false" customHeight="false" outlineLevel="0" collapsed="false">
      <c r="A10" s="51" t="s">
        <v>246</v>
      </c>
      <c r="B10" s="56" t="s">
        <v>247</v>
      </c>
      <c r="C10" s="53" t="n">
        <f aca="false">(C5+C6)/C7</f>
        <v>0.324324324324324</v>
      </c>
      <c r="D10" s="53" t="n">
        <f aca="false">(D5+D6)/D7</f>
        <v>0.324324324324324</v>
      </c>
      <c r="E10" s="53" t="n">
        <f aca="false">(E5+E6)/E7</f>
        <v>0.324324324324324</v>
      </c>
      <c r="F10" s="55" t="s">
        <v>243</v>
      </c>
    </row>
    <row r="11" customFormat="false" ht="15" hidden="false" customHeight="false" outlineLevel="0" collapsed="false">
      <c r="A11" s="51" t="s">
        <v>248</v>
      </c>
      <c r="B11" s="56" t="s">
        <v>249</v>
      </c>
      <c r="C11" s="53" t="n">
        <f aca="false">D11</f>
        <v>0.5</v>
      </c>
      <c r="D11" s="54" t="n">
        <v>0.5</v>
      </c>
      <c r="E11" s="53" t="n">
        <f aca="false">D11</f>
        <v>0.5</v>
      </c>
      <c r="F11" s="55" t="s">
        <v>250</v>
      </c>
    </row>
    <row r="12" customFormat="false" ht="15" hidden="false" customHeight="false" outlineLevel="0" collapsed="false">
      <c r="A12" s="51" t="s">
        <v>251</v>
      </c>
      <c r="B12" s="56" t="s">
        <v>252</v>
      </c>
      <c r="C12" s="53" t="n">
        <f aca="false">D12</f>
        <v>4</v>
      </c>
      <c r="D12" s="54" t="n">
        <v>4</v>
      </c>
      <c r="E12" s="53" t="n">
        <f aca="false">D12</f>
        <v>4</v>
      </c>
      <c r="F12" s="55" t="s">
        <v>250</v>
      </c>
    </row>
    <row r="13" customFormat="false" ht="15" hidden="false" customHeight="false" outlineLevel="0" collapsed="false">
      <c r="A13" s="51" t="s">
        <v>253</v>
      </c>
      <c r="B13" s="56" t="s">
        <v>254</v>
      </c>
      <c r="C13" s="53" t="n">
        <f aca="false">(1-C11)+C11*C12</f>
        <v>2.5</v>
      </c>
      <c r="D13" s="53" t="n">
        <f aca="false">(1-D11)+D11*D12</f>
        <v>2.5</v>
      </c>
      <c r="E13" s="53" t="n">
        <f aca="false">(1-E11)+E11*E12</f>
        <v>2.5</v>
      </c>
      <c r="F13" s="55" t="s">
        <v>243</v>
      </c>
    </row>
    <row r="14" customFormat="false" ht="15" hidden="false" customHeight="false" outlineLevel="0" collapsed="false">
      <c r="A14" s="51" t="s">
        <v>255</v>
      </c>
      <c r="B14" s="56" t="s">
        <v>256</v>
      </c>
      <c r="C14" s="53" t="n">
        <f aca="false">D14</f>
        <v>0.05</v>
      </c>
      <c r="D14" s="54" t="n">
        <v>0.05</v>
      </c>
      <c r="E14" s="53" t="n">
        <f aca="false">D14</f>
        <v>0.05</v>
      </c>
      <c r="F14" s="55" t="s">
        <v>257</v>
      </c>
    </row>
    <row r="15" customFormat="false" ht="15" hidden="false" customHeight="false" outlineLevel="0" collapsed="false">
      <c r="A15" s="51" t="s">
        <v>258</v>
      </c>
      <c r="B15" s="56" t="s">
        <v>259</v>
      </c>
      <c r="C15" s="53" t="n">
        <f aca="false">D15</f>
        <v>2</v>
      </c>
      <c r="D15" s="54" t="n">
        <v>2</v>
      </c>
      <c r="E15" s="53" t="n">
        <f aca="false">D15</f>
        <v>2</v>
      </c>
      <c r="F15" s="55" t="s">
        <v>257</v>
      </c>
    </row>
    <row r="16" customFormat="false" ht="15" hidden="false" customHeight="false" outlineLevel="0" collapsed="false">
      <c r="A16" s="51" t="s">
        <v>260</v>
      </c>
      <c r="B16" s="56" t="s">
        <v>261</v>
      </c>
      <c r="C16" s="54" t="n">
        <v>250</v>
      </c>
      <c r="D16" s="54" t="n">
        <v>370</v>
      </c>
      <c r="E16" s="54" t="n">
        <v>490</v>
      </c>
      <c r="F16" s="55" t="s">
        <v>262</v>
      </c>
    </row>
    <row r="17" customFormat="false" ht="15" hidden="false" customHeight="false" outlineLevel="0" collapsed="false">
      <c r="A17" s="51" t="s">
        <v>263</v>
      </c>
      <c r="B17" s="56" t="s">
        <v>264</v>
      </c>
      <c r="C17" s="53" t="n">
        <f aca="false">D17</f>
        <v>0.044</v>
      </c>
      <c r="D17" s="54" t="n">
        <v>0.044</v>
      </c>
      <c r="E17" s="53" t="n">
        <f aca="false">D17</f>
        <v>0.044</v>
      </c>
      <c r="F17" s="55" t="s">
        <v>265</v>
      </c>
    </row>
    <row r="18" customFormat="false" ht="15" hidden="false" customHeight="false" outlineLevel="0" collapsed="false">
      <c r="A18" s="51" t="s">
        <v>266</v>
      </c>
      <c r="B18" s="56" t="s">
        <v>267</v>
      </c>
      <c r="C18" s="53" t="n">
        <f aca="false">C17*C16</f>
        <v>11</v>
      </c>
      <c r="D18" s="53" t="n">
        <f aca="false">D17*D16</f>
        <v>16.28</v>
      </c>
      <c r="E18" s="53" t="n">
        <f aca="false">E17*E16</f>
        <v>21.56</v>
      </c>
      <c r="F18" s="55" t="s">
        <v>243</v>
      </c>
    </row>
    <row r="19" customFormat="false" ht="15" hidden="false" customHeight="false" outlineLevel="0" collapsed="false">
      <c r="A19" s="51" t="s">
        <v>268</v>
      </c>
      <c r="B19" s="56" t="s">
        <v>269</v>
      </c>
      <c r="C19" s="54" t="n">
        <v>150</v>
      </c>
      <c r="D19" s="54" t="n">
        <v>368</v>
      </c>
      <c r="E19" s="54" t="n">
        <v>763</v>
      </c>
      <c r="F19" s="55" t="s">
        <v>270</v>
      </c>
    </row>
    <row r="20" customFormat="false" ht="15" hidden="false" customHeight="false" outlineLevel="0" collapsed="false">
      <c r="A20" s="51" t="s">
        <v>271</v>
      </c>
      <c r="B20" s="56" t="s">
        <v>272</v>
      </c>
      <c r="C20" s="53" t="n">
        <f aca="false">D20</f>
        <v>0.8</v>
      </c>
      <c r="D20" s="54" t="n">
        <v>0.8</v>
      </c>
      <c r="E20" s="53" t="n">
        <f aca="false">D20</f>
        <v>0.8</v>
      </c>
      <c r="F20" s="55" t="s">
        <v>231</v>
      </c>
    </row>
    <row r="21" customFormat="false" ht="15" hidden="false" customHeight="false" outlineLevel="0" collapsed="false">
      <c r="A21" s="51" t="s">
        <v>273</v>
      </c>
      <c r="B21" s="56" t="s">
        <v>274</v>
      </c>
      <c r="C21" s="54" t="n">
        <v>10</v>
      </c>
      <c r="D21" s="54" t="n">
        <v>12.2</v>
      </c>
      <c r="E21" s="54" t="n">
        <v>15.9</v>
      </c>
      <c r="F21" s="55" t="s">
        <v>275</v>
      </c>
    </row>
    <row r="22" customFormat="false" ht="15" hidden="false" customHeight="false" outlineLevel="0" collapsed="false">
      <c r="A22" s="51" t="s">
        <v>276</v>
      </c>
      <c r="B22" s="56" t="s">
        <v>277</v>
      </c>
      <c r="C22" s="54" t="n">
        <v>0.12</v>
      </c>
      <c r="D22" s="54" t="n">
        <v>0.29</v>
      </c>
      <c r="E22" s="54" t="n">
        <v>0.49</v>
      </c>
      <c r="F22" s="55" t="s">
        <v>278</v>
      </c>
    </row>
    <row r="23" customFormat="false" ht="15" hidden="false" customHeight="false" outlineLevel="0" collapsed="false">
      <c r="A23" s="51" t="s">
        <v>279</v>
      </c>
      <c r="B23" s="56" t="s">
        <v>280</v>
      </c>
      <c r="C23" s="53" t="n">
        <f aca="false">D23</f>
        <v>5</v>
      </c>
      <c r="D23" s="54" t="n">
        <v>5</v>
      </c>
      <c r="E23" s="53" t="n">
        <f aca="false">D23</f>
        <v>5</v>
      </c>
      <c r="F23" s="55" t="s">
        <v>281</v>
      </c>
    </row>
    <row r="24" customFormat="false" ht="15" hidden="false" customHeight="false" outlineLevel="0" collapsed="false">
      <c r="A24" s="51" t="s">
        <v>282</v>
      </c>
      <c r="B24" s="56" t="s">
        <v>283</v>
      </c>
      <c r="C24" s="53" t="n">
        <f aca="false">D24</f>
        <v>6</v>
      </c>
      <c r="D24" s="54" t="n">
        <v>6</v>
      </c>
      <c r="E24" s="53" t="n">
        <f aca="false">D24</f>
        <v>6</v>
      </c>
      <c r="F24" s="55" t="s">
        <v>284</v>
      </c>
    </row>
    <row r="25" customFormat="false" ht="23.85" hidden="false" customHeight="false" outlineLevel="0" collapsed="false">
      <c r="A25" s="51" t="s">
        <v>285</v>
      </c>
      <c r="B25" s="56" t="s">
        <v>286</v>
      </c>
      <c r="C25" s="53" t="n">
        <f aca="false">D25</f>
        <v>0.56</v>
      </c>
      <c r="D25" s="54" t="n">
        <v>0.56</v>
      </c>
      <c r="E25" s="53" t="n">
        <f aca="false">D25</f>
        <v>0.56</v>
      </c>
      <c r="F25" s="55" t="s">
        <v>287</v>
      </c>
    </row>
    <row r="26" customFormat="false" ht="15" hidden="false" customHeight="false" outlineLevel="0" collapsed="false">
      <c r="A26" s="51" t="s">
        <v>288</v>
      </c>
      <c r="B26" s="56" t="s">
        <v>289</v>
      </c>
      <c r="C26" s="53" t="n">
        <f aca="false">D26</f>
        <v>0.7</v>
      </c>
      <c r="D26" s="54" t="n">
        <v>0.7</v>
      </c>
      <c r="E26" s="53" t="n">
        <f aca="false">D26</f>
        <v>0.7</v>
      </c>
      <c r="F26" s="55" t="s">
        <v>290</v>
      </c>
    </row>
    <row r="27" customFormat="false" ht="15" hidden="false" customHeight="false" outlineLevel="0" collapsed="false">
      <c r="A27" s="51" t="s">
        <v>291</v>
      </c>
      <c r="B27" s="56" t="s">
        <v>292</v>
      </c>
      <c r="C27" s="53" t="n">
        <f aca="false">D27</f>
        <v>0.8</v>
      </c>
      <c r="D27" s="54" t="n">
        <v>0.8</v>
      </c>
      <c r="E27" s="53" t="n">
        <f aca="false">D27</f>
        <v>0.8</v>
      </c>
      <c r="F27" s="55" t="s">
        <v>293</v>
      </c>
    </row>
    <row r="28" customFormat="false" ht="15" hidden="false" customHeight="false" outlineLevel="0" collapsed="false">
      <c r="A28" s="51" t="s">
        <v>294</v>
      </c>
      <c r="B28" s="56" t="s">
        <v>295</v>
      </c>
      <c r="C28" s="53" t="n">
        <f aca="false">D28</f>
        <v>0.65</v>
      </c>
      <c r="D28" s="54" t="n">
        <v>0.65</v>
      </c>
      <c r="E28" s="53" t="n">
        <f aca="false">D28</f>
        <v>0.65</v>
      </c>
      <c r="F28" s="55" t="s">
        <v>296</v>
      </c>
    </row>
    <row r="29" customFormat="false" ht="15" hidden="false" customHeight="false" outlineLevel="0" collapsed="false">
      <c r="A29" s="51" t="s">
        <v>297</v>
      </c>
      <c r="B29" s="56" t="s">
        <v>298</v>
      </c>
      <c r="C29" s="53" t="n">
        <f aca="false">D29</f>
        <v>0.3</v>
      </c>
      <c r="D29" s="54" t="n">
        <v>0.3</v>
      </c>
      <c r="E29" s="53" t="n">
        <f aca="false">D29</f>
        <v>0.3</v>
      </c>
      <c r="F29" s="55" t="s">
        <v>250</v>
      </c>
    </row>
    <row r="30" customFormat="false" ht="15" hidden="false" customHeight="false" outlineLevel="0" collapsed="false">
      <c r="A30" s="51" t="s">
        <v>299</v>
      </c>
      <c r="B30" s="56" t="s">
        <v>300</v>
      </c>
      <c r="C30" s="53" t="n">
        <f aca="false">D30</f>
        <v>0.65</v>
      </c>
      <c r="D30" s="54" t="n">
        <v>0.65</v>
      </c>
      <c r="E30" s="53" t="n">
        <f aca="false">D30</f>
        <v>0.65</v>
      </c>
      <c r="F30" s="55" t="s">
        <v>250</v>
      </c>
    </row>
    <row r="31" customFormat="false" ht="15" hidden="false" customHeight="false" outlineLevel="0" collapsed="false">
      <c r="A31" s="51" t="s">
        <v>301</v>
      </c>
      <c r="B31" s="56" t="s">
        <v>302</v>
      </c>
      <c r="C31" s="53" t="n">
        <f aca="false">D31</f>
        <v>0.4</v>
      </c>
      <c r="D31" s="54" t="n">
        <v>0.4</v>
      </c>
      <c r="E31" s="53" t="n">
        <f aca="false">D31</f>
        <v>0.4</v>
      </c>
      <c r="F31" s="55" t="s">
        <v>250</v>
      </c>
    </row>
    <row r="32" customFormat="false" ht="15" hidden="false" customHeight="false" outlineLevel="0" collapsed="false">
      <c r="A32" s="51" t="s">
        <v>303</v>
      </c>
      <c r="B32" s="56" t="s">
        <v>304</v>
      </c>
      <c r="C32" s="53" t="n">
        <f aca="false">D32</f>
        <v>0.4</v>
      </c>
      <c r="D32" s="54" t="n">
        <v>0.4</v>
      </c>
      <c r="E32" s="53" t="n">
        <f aca="false">D32</f>
        <v>0.4</v>
      </c>
      <c r="F32" s="55" t="s">
        <v>250</v>
      </c>
    </row>
    <row r="33" customFormat="false" ht="15" hidden="false" customHeight="false" outlineLevel="0" collapsed="false">
      <c r="A33" s="51" t="s">
        <v>305</v>
      </c>
      <c r="B33" s="56" t="s">
        <v>306</v>
      </c>
      <c r="C33" s="53" t="n">
        <f aca="false">D33</f>
        <v>0.5</v>
      </c>
      <c r="D33" s="54" t="n">
        <v>0.5</v>
      </c>
      <c r="E33" s="53" t="n">
        <f aca="false">D33</f>
        <v>0.5</v>
      </c>
      <c r="F33" s="55" t="s">
        <v>250</v>
      </c>
    </row>
    <row r="34" customFormat="false" ht="15" hidden="false" customHeight="false" outlineLevel="0" collapsed="false">
      <c r="A34" s="51" t="s">
        <v>307</v>
      </c>
      <c r="B34" s="56" t="s">
        <v>308</v>
      </c>
      <c r="C34" s="53" t="n">
        <f aca="false">D34</f>
        <v>0.25</v>
      </c>
      <c r="D34" s="54" t="n">
        <v>0.25</v>
      </c>
      <c r="E34" s="53" t="n">
        <f aca="false">D34</f>
        <v>0.25</v>
      </c>
      <c r="F34" s="55" t="s">
        <v>309</v>
      </c>
    </row>
    <row r="35" customFormat="false" ht="15" hidden="false" customHeight="false" outlineLevel="0" collapsed="false">
      <c r="A35" s="51" t="s">
        <v>310</v>
      </c>
      <c r="B35" s="56" t="s">
        <v>311</v>
      </c>
      <c r="C35" s="53" t="n">
        <f aca="false">D35</f>
        <v>0.8</v>
      </c>
      <c r="D35" s="54" t="n">
        <v>0.8</v>
      </c>
      <c r="E35" s="53" t="n">
        <f aca="false">D35</f>
        <v>0.8</v>
      </c>
      <c r="F35" s="55" t="s">
        <v>250</v>
      </c>
    </row>
    <row r="36" customFormat="false" ht="15" hidden="false" customHeight="false" outlineLevel="0" collapsed="false">
      <c r="A36" s="51" t="s">
        <v>312</v>
      </c>
      <c r="B36" s="56" t="s">
        <v>313</v>
      </c>
      <c r="C36" s="53" t="n">
        <f aca="false">D36</f>
        <v>2</v>
      </c>
      <c r="D36" s="54" t="n">
        <v>2</v>
      </c>
      <c r="E36" s="53" t="n">
        <f aca="false">D36</f>
        <v>2</v>
      </c>
      <c r="F36" s="55" t="s">
        <v>314</v>
      </c>
    </row>
    <row r="37" customFormat="false" ht="15" hidden="false" customHeight="false" outlineLevel="0" collapsed="false">
      <c r="A37" s="51" t="s">
        <v>315</v>
      </c>
      <c r="B37" s="56" t="s">
        <v>316</v>
      </c>
      <c r="C37" s="53" t="n">
        <f aca="false">D37</f>
        <v>0.6</v>
      </c>
      <c r="D37" s="54" t="n">
        <v>0.6</v>
      </c>
      <c r="E37" s="53" t="n">
        <f aca="false">D37</f>
        <v>0.6</v>
      </c>
      <c r="F37" s="55" t="s">
        <v>317</v>
      </c>
    </row>
    <row r="38" customFormat="false" ht="15" hidden="false" customHeight="false" outlineLevel="0" collapsed="false">
      <c r="A38" s="51" t="s">
        <v>318</v>
      </c>
      <c r="B38" s="56" t="s">
        <v>319</v>
      </c>
      <c r="C38" s="53" t="n">
        <f aca="false">D38</f>
        <v>0.13</v>
      </c>
      <c r="D38" s="54" t="n">
        <v>0.13</v>
      </c>
      <c r="E38" s="53" t="n">
        <f aca="false">D38</f>
        <v>0.13</v>
      </c>
      <c r="F38" s="55" t="s">
        <v>320</v>
      </c>
    </row>
    <row r="39" customFormat="false" ht="15" hidden="false" customHeight="false" outlineLevel="0" collapsed="false">
      <c r="A39" s="51" t="s">
        <v>321</v>
      </c>
      <c r="B39" s="56" t="s">
        <v>322</v>
      </c>
      <c r="C39" s="53" t="n">
        <f aca="false">D39</f>
        <v>0.075</v>
      </c>
      <c r="D39" s="54" t="n">
        <v>0.075</v>
      </c>
      <c r="E39" s="53" t="n">
        <f aca="false">D39</f>
        <v>0.075</v>
      </c>
      <c r="F39" s="55" t="s">
        <v>250</v>
      </c>
    </row>
    <row r="40" customFormat="false" ht="15" hidden="false" customHeight="false" outlineLevel="0" collapsed="false">
      <c r="A40" s="51" t="s">
        <v>323</v>
      </c>
      <c r="B40" s="56" t="s">
        <v>324</v>
      </c>
      <c r="C40" s="53" t="n">
        <f aca="false">D40</f>
        <v>0.25</v>
      </c>
      <c r="D40" s="54" t="n">
        <v>0.25</v>
      </c>
      <c r="E40" s="53" t="n">
        <f aca="false">D40</f>
        <v>0.25</v>
      </c>
      <c r="F40" s="55" t="s">
        <v>325</v>
      </c>
    </row>
    <row r="41" customFormat="false" ht="15" hidden="false" customHeight="false" outlineLevel="0" collapsed="false">
      <c r="A41" s="51" t="s">
        <v>326</v>
      </c>
      <c r="B41" s="56" t="s">
        <v>327</v>
      </c>
      <c r="C41" s="53" t="n">
        <f aca="false">D41</f>
        <v>0.2</v>
      </c>
      <c r="D41" s="54" t="n">
        <v>0.2</v>
      </c>
      <c r="E41" s="53" t="n">
        <f aca="false">D41</f>
        <v>0.2</v>
      </c>
      <c r="F41" s="55" t="s">
        <v>250</v>
      </c>
    </row>
    <row r="42" customFormat="false" ht="15" hidden="false" customHeight="false" outlineLevel="0" collapsed="false">
      <c r="A42" s="51" t="s">
        <v>328</v>
      </c>
      <c r="B42" s="56" t="s">
        <v>329</v>
      </c>
      <c r="C42" s="53" t="n">
        <f aca="false">D42</f>
        <v>2</v>
      </c>
      <c r="D42" s="54" t="n">
        <v>2</v>
      </c>
      <c r="E42" s="53" t="n">
        <f aca="false">D42</f>
        <v>2</v>
      </c>
      <c r="F42" s="55" t="s">
        <v>330</v>
      </c>
    </row>
    <row r="43" customFormat="false" ht="15" hidden="false" customHeight="false" outlineLevel="0" collapsed="false">
      <c r="A43" s="51" t="s">
        <v>331</v>
      </c>
      <c r="B43" s="56" t="s">
        <v>332</v>
      </c>
      <c r="C43" s="53" t="n">
        <f aca="false">D43</f>
        <v>3</v>
      </c>
      <c r="D43" s="54" t="n">
        <v>3</v>
      </c>
      <c r="E43" s="53" t="n">
        <f aca="false">D43</f>
        <v>3</v>
      </c>
      <c r="F43" s="55" t="s">
        <v>333</v>
      </c>
    </row>
    <row r="44" customFormat="false" ht="15" hidden="false" customHeight="false" outlineLevel="0" collapsed="false">
      <c r="A44" s="51" t="s">
        <v>334</v>
      </c>
      <c r="B44" s="56" t="s">
        <v>335</v>
      </c>
      <c r="C44" s="53" t="n">
        <f aca="false">D44</f>
        <v>11</v>
      </c>
      <c r="D44" s="54" t="n">
        <v>11</v>
      </c>
      <c r="E44" s="53" t="n">
        <f aca="false">D44</f>
        <v>11</v>
      </c>
      <c r="F44" s="55" t="s">
        <v>336</v>
      </c>
    </row>
    <row r="45" customFormat="false" ht="15" hidden="false" customHeight="false" outlineLevel="0" collapsed="false">
      <c r="A45" s="51" t="s">
        <v>337</v>
      </c>
      <c r="B45" s="56" t="s">
        <v>338</v>
      </c>
      <c r="C45" s="54" t="n">
        <v>1039</v>
      </c>
      <c r="D45" s="54" t="n">
        <v>2046</v>
      </c>
      <c r="E45" s="54" t="n">
        <v>3013</v>
      </c>
      <c r="F45" s="55" t="s">
        <v>270</v>
      </c>
    </row>
    <row r="46" customFormat="false" ht="15" hidden="false" customHeight="false" outlineLevel="0" collapsed="false">
      <c r="A46" s="51" t="s">
        <v>339</v>
      </c>
      <c r="B46" s="56" t="s">
        <v>340</v>
      </c>
      <c r="C46" s="53" t="n">
        <f aca="false">D46</f>
        <v>9</v>
      </c>
      <c r="D46" s="54" t="n">
        <v>9</v>
      </c>
      <c r="E46" s="53" t="n">
        <f aca="false">D46</f>
        <v>9</v>
      </c>
      <c r="F46" s="55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57" t="s">
        <v>342</v>
      </c>
    </row>
    <row r="3" customFormat="false" ht="15" hidden="false" customHeight="false" outlineLevel="0" collapsed="false">
      <c r="A3" s="46" t="s">
        <v>343</v>
      </c>
    </row>
    <row r="4" customFormat="false" ht="19.5" hidden="false" customHeight="true" outlineLevel="0" collapsed="false">
      <c r="A4" s="1" t="s">
        <v>344</v>
      </c>
      <c r="B4" s="1" t="s">
        <v>12</v>
      </c>
      <c r="C4" s="1" t="s">
        <v>67</v>
      </c>
      <c r="D4" s="1" t="s">
        <v>104</v>
      </c>
      <c r="E4" s="1" t="s">
        <v>135</v>
      </c>
      <c r="F4" s="1" t="s">
        <v>345</v>
      </c>
    </row>
    <row r="5" customFormat="false" ht="15" hidden="false" customHeight="false" outlineLevel="0" collapsed="false">
      <c r="A5" s="58" t="s">
        <v>346</v>
      </c>
      <c r="B5" s="59" t="n">
        <v>0.6</v>
      </c>
      <c r="C5" s="59" t="n">
        <v>0.32</v>
      </c>
      <c r="D5" s="59" t="n">
        <v>0.07</v>
      </c>
      <c r="E5" s="59" t="n">
        <v>0.01</v>
      </c>
      <c r="F5" s="60" t="n">
        <f aca="false">SUM(B5:E5)</f>
        <v>1</v>
      </c>
    </row>
    <row r="6" customFormat="false" ht="15" hidden="false" customHeight="false" outlineLevel="0" collapsed="false">
      <c r="A6" s="58" t="s">
        <v>347</v>
      </c>
      <c r="B6" s="59" t="n">
        <v>0</v>
      </c>
      <c r="C6" s="59" t="n">
        <v>0.8</v>
      </c>
      <c r="D6" s="59" t="n">
        <v>0.2</v>
      </c>
      <c r="E6" s="59" t="n">
        <v>0</v>
      </c>
      <c r="F6" s="60" t="n">
        <f aca="false">SUM(B6:E6)</f>
        <v>1</v>
      </c>
    </row>
    <row r="7" customFormat="false" ht="15" hidden="false" customHeight="false" outlineLevel="0" collapsed="false">
      <c r="A7" s="58" t="s">
        <v>135</v>
      </c>
      <c r="B7" s="59" t="n">
        <v>0</v>
      </c>
      <c r="C7" s="59" t="n">
        <v>0</v>
      </c>
      <c r="D7" s="59" t="n">
        <v>0</v>
      </c>
      <c r="E7" s="59" t="n">
        <v>1</v>
      </c>
      <c r="F7" s="60" t="n">
        <f aca="false">SUM(B7:E7)</f>
        <v>1</v>
      </c>
    </row>
    <row r="8" customFormat="false" ht="15" hidden="false" customHeight="false" outlineLevel="0" collapsed="false">
      <c r="A8" s="58" t="s">
        <v>348</v>
      </c>
      <c r="B8" s="59" t="n">
        <v>0</v>
      </c>
      <c r="C8" s="59" t="n">
        <v>0</v>
      </c>
      <c r="D8" s="59" t="n">
        <v>0.9</v>
      </c>
      <c r="E8" s="59" t="n">
        <v>0.1</v>
      </c>
      <c r="F8" s="60" t="n">
        <f aca="false">SUM(B8:E8)</f>
        <v>1</v>
      </c>
    </row>
    <row r="10" customFormat="false" ht="15" hidden="false" customHeight="false" outlineLevel="0" collapsed="false">
      <c r="A10" s="50" t="s">
        <v>349</v>
      </c>
    </row>
    <row r="12" customFormat="false" ht="15" hidden="false" customHeight="false" outlineLevel="0" collapsed="false">
      <c r="A12" s="46" t="s">
        <v>350</v>
      </c>
    </row>
    <row r="13" customFormat="false" ht="42" hidden="false" customHeight="true" outlineLevel="0" collapsed="false">
      <c r="A13" s="1" t="s">
        <v>2</v>
      </c>
      <c r="B13" s="1" t="s">
        <v>351</v>
      </c>
      <c r="C13" s="1" t="s">
        <v>352</v>
      </c>
      <c r="D13" s="1" t="s">
        <v>353</v>
      </c>
      <c r="E13" s="1" t="s">
        <v>354</v>
      </c>
    </row>
    <row r="14" customFormat="false" ht="15" hidden="false" customHeight="false" outlineLevel="0" collapsed="false">
      <c r="A14" s="30" t="s">
        <v>12</v>
      </c>
      <c r="B14" s="61" t="n">
        <f aca="false">COUNTIF(Items!$C$2:$C$51,A14)</f>
        <v>17</v>
      </c>
      <c r="C14" s="62" t="n">
        <f aca="false">1/B14</f>
        <v>0.0588235294117647</v>
      </c>
      <c r="D14" s="63" t="n">
        <f aca="false">B$5*C14</f>
        <v>0.0352941176470588</v>
      </c>
      <c r="E14" s="64" t="n">
        <v>1</v>
      </c>
    </row>
    <row r="15" customFormat="false" ht="15" hidden="false" customHeight="false" outlineLevel="0" collapsed="false">
      <c r="A15" s="34" t="s">
        <v>67</v>
      </c>
      <c r="B15" s="65" t="n">
        <f aca="false">COUNTIF(Items!$C$2:$C$51,A15)</f>
        <v>16</v>
      </c>
      <c r="C15" s="66" t="n">
        <f aca="false">1/B15</f>
        <v>0.0625</v>
      </c>
      <c r="D15" s="67" t="n">
        <f aca="false">C$5*C15</f>
        <v>0.02</v>
      </c>
      <c r="E15" s="68" t="n">
        <v>2.2</v>
      </c>
    </row>
    <row r="16" customFormat="false" ht="15" hidden="false" customHeight="false" outlineLevel="0" collapsed="false">
      <c r="A16" s="38" t="s">
        <v>104</v>
      </c>
      <c r="B16" s="69" t="n">
        <f aca="false">COUNTIF(Items!$C$2:$C$51,A16)</f>
        <v>11</v>
      </c>
      <c r="C16" s="70" t="n">
        <f aca="false">1/B16</f>
        <v>0.0909090909090909</v>
      </c>
      <c r="D16" s="71" t="n">
        <f aca="false">D$5*C16</f>
        <v>0.00636363636363637</v>
      </c>
      <c r="E16" s="72" t="n">
        <v>5</v>
      </c>
    </row>
    <row r="17" customFormat="false" ht="15" hidden="false" customHeight="false" outlineLevel="0" collapsed="false">
      <c r="A17" s="42" t="s">
        <v>135</v>
      </c>
      <c r="B17" s="73" t="n">
        <f aca="false">COUNTIF(Items!$C$2:$C$51,A17)</f>
        <v>6</v>
      </c>
      <c r="C17" s="74" t="n">
        <f aca="false">1/B17</f>
        <v>0.166666666666667</v>
      </c>
      <c r="D17" s="75" t="n">
        <f aca="false">E$5*C17</f>
        <v>0.00166666666666667</v>
      </c>
      <c r="E17" s="76" t="n">
        <v>12</v>
      </c>
    </row>
    <row r="19" customFormat="false" ht="15" hidden="false" customHeight="false" outlineLevel="0" collapsed="false">
      <c r="A19" s="46" t="s">
        <v>355</v>
      </c>
    </row>
    <row r="20" customFormat="false" ht="15" hidden="false" customHeight="false" outlineLevel="0" collapsed="false">
      <c r="A20" s="47" t="s">
        <v>356</v>
      </c>
      <c r="D20" s="77" t="n">
        <f aca="false">D5+E5</f>
        <v>0.08</v>
      </c>
    </row>
    <row r="21" customFormat="false" ht="15" hidden="false" customHeight="false" outlineLevel="0" collapsed="false">
      <c r="A21" s="47" t="s">
        <v>357</v>
      </c>
      <c r="D21" s="78" t="n">
        <v>0.02</v>
      </c>
    </row>
    <row r="23" customFormat="false" ht="42" hidden="false" customHeight="true" outlineLevel="0" collapsed="false">
      <c r="A23" s="1" t="s">
        <v>358</v>
      </c>
      <c r="B23" s="1" t="s">
        <v>359</v>
      </c>
      <c r="C23" s="1" t="s">
        <v>360</v>
      </c>
      <c r="D23" s="1" t="s">
        <v>361</v>
      </c>
    </row>
    <row r="24" customFormat="false" ht="15" hidden="false" customHeight="false" outlineLevel="0" collapsed="false">
      <c r="A24" s="79" t="n">
        <v>1</v>
      </c>
      <c r="B24" s="60" t="n">
        <f aca="false">MIN(1,$D$20+$D$21*(A24-1))</f>
        <v>0.08</v>
      </c>
      <c r="C24" s="80" t="n">
        <f aca="false">B24</f>
        <v>0.08</v>
      </c>
      <c r="D24" s="80" t="n">
        <f aca="false">1-(1-$D$20)^A24</f>
        <v>0.08</v>
      </c>
    </row>
    <row r="25" customFormat="false" ht="15" hidden="false" customHeight="false" outlineLevel="0" collapsed="false">
      <c r="A25" s="79" t="n">
        <v>2</v>
      </c>
      <c r="B25" s="60" t="n">
        <f aca="false">MIN(1,$D$20+$D$21*(A25-1))</f>
        <v>0.1</v>
      </c>
      <c r="C25" s="80" t="n">
        <f aca="false">1-(1-C24)*(1-B25)</f>
        <v>0.172</v>
      </c>
      <c r="D25" s="80" t="n">
        <f aca="false">1-(1-$D$20)^A25</f>
        <v>0.1536</v>
      </c>
    </row>
    <row r="26" customFormat="false" ht="15" hidden="false" customHeight="false" outlineLevel="0" collapsed="false">
      <c r="A26" s="79" t="n">
        <v>3</v>
      </c>
      <c r="B26" s="60" t="n">
        <f aca="false">MIN(1,$D$20+$D$21*(A26-1))</f>
        <v>0.12</v>
      </c>
      <c r="C26" s="80" t="n">
        <f aca="false">1-(1-C25)*(1-B26)</f>
        <v>0.27136</v>
      </c>
      <c r="D26" s="80" t="n">
        <f aca="false">1-(1-$D$20)^A26</f>
        <v>0.221312</v>
      </c>
    </row>
    <row r="27" customFormat="false" ht="15" hidden="false" customHeight="false" outlineLevel="0" collapsed="false">
      <c r="A27" s="79" t="n">
        <v>4</v>
      </c>
      <c r="B27" s="60" t="n">
        <f aca="false">MIN(1,$D$20+$D$21*(A27-1))</f>
        <v>0.14</v>
      </c>
      <c r="C27" s="80" t="n">
        <f aca="false">1-(1-C26)*(1-B27)</f>
        <v>0.3733696</v>
      </c>
      <c r="D27" s="80" t="n">
        <f aca="false">1-(1-$D$20)^A27</f>
        <v>0.28360704</v>
      </c>
    </row>
    <row r="28" customFormat="false" ht="15" hidden="false" customHeight="false" outlineLevel="0" collapsed="false">
      <c r="A28" s="79" t="n">
        <v>5</v>
      </c>
      <c r="B28" s="60" t="n">
        <f aca="false">MIN(1,$D$20+$D$21*(A28-1))</f>
        <v>0.16</v>
      </c>
      <c r="C28" s="80" t="n">
        <f aca="false">1-(1-C27)*(1-B28)</f>
        <v>0.473630464</v>
      </c>
      <c r="D28" s="80" t="n">
        <f aca="false">1-(1-$D$20)^A28</f>
        <v>0.3409184768</v>
      </c>
    </row>
    <row r="29" customFormat="false" ht="15" hidden="false" customHeight="false" outlineLevel="0" collapsed="false">
      <c r="A29" s="79" t="n">
        <v>6</v>
      </c>
      <c r="B29" s="60" t="n">
        <f aca="false">MIN(1,$D$20+$D$21*(A29-1))</f>
        <v>0.18</v>
      </c>
      <c r="C29" s="80" t="n">
        <f aca="false">1-(1-C28)*(1-B29)</f>
        <v>0.56837698048</v>
      </c>
      <c r="D29" s="80" t="n">
        <f aca="false">1-(1-$D$20)^A29</f>
        <v>0.393644998656</v>
      </c>
    </row>
    <row r="30" customFormat="false" ht="15" hidden="false" customHeight="false" outlineLevel="0" collapsed="false">
      <c r="A30" s="79" t="n">
        <v>7</v>
      </c>
      <c r="B30" s="60" t="n">
        <f aca="false">MIN(1,$D$20+$D$21*(A30-1))</f>
        <v>0.2</v>
      </c>
      <c r="C30" s="80" t="n">
        <f aca="false">1-(1-C29)*(1-B30)</f>
        <v>0.654701584384</v>
      </c>
      <c r="D30" s="80" t="n">
        <f aca="false">1-(1-$D$20)^A30</f>
        <v>0.44215339876352</v>
      </c>
    </row>
    <row r="31" customFormat="false" ht="15" hidden="false" customHeight="false" outlineLevel="0" collapsed="false">
      <c r="A31" s="79" t="n">
        <v>8</v>
      </c>
      <c r="B31" s="60" t="n">
        <f aca="false">MIN(1,$D$20+$D$21*(A31-1))</f>
        <v>0.22</v>
      </c>
      <c r="C31" s="80" t="n">
        <f aca="false">1-(1-C30)*(1-B31)</f>
        <v>0.73066723581952</v>
      </c>
      <c r="D31" s="80" t="n">
        <f aca="false">1-(1-$D$20)^A31</f>
        <v>0.486781126862438</v>
      </c>
    </row>
    <row r="32" customFormat="false" ht="15" hidden="false" customHeight="false" outlineLevel="0" collapsed="false">
      <c r="A32" s="79" t="n">
        <v>9</v>
      </c>
      <c r="B32" s="60" t="n">
        <f aca="false">MIN(1,$D$20+$D$21*(A32-1))</f>
        <v>0.24</v>
      </c>
      <c r="C32" s="80" t="n">
        <f aca="false">1-(1-C31)*(1-B32)</f>
        <v>0.795307099222835</v>
      </c>
      <c r="D32" s="80" t="n">
        <f aca="false">1-(1-$D$20)^A32</f>
        <v>0.527838636713443</v>
      </c>
    </row>
    <row r="33" customFormat="false" ht="15" hidden="false" customHeight="false" outlineLevel="0" collapsed="false">
      <c r="A33" s="79" t="n">
        <v>10</v>
      </c>
      <c r="B33" s="60" t="n">
        <f aca="false">MIN(1,$D$20+$D$21*(A33-1))</f>
        <v>0.26</v>
      </c>
      <c r="C33" s="80" t="n">
        <f aca="false">1-(1-C32)*(1-B33)</f>
        <v>0.848527253424898</v>
      </c>
      <c r="D33" s="80" t="n">
        <f aca="false">1-(1-$D$20)^A33</f>
        <v>0.565611545776368</v>
      </c>
    </row>
    <row r="34" customFormat="false" ht="15" hidden="false" customHeight="false" outlineLevel="0" collapsed="false">
      <c r="A34" s="79" t="n">
        <v>11</v>
      </c>
      <c r="B34" s="60" t="n">
        <f aca="false">MIN(1,$D$20+$D$21*(A34-1))</f>
        <v>0.28</v>
      </c>
      <c r="C34" s="80" t="n">
        <f aca="false">1-(1-C33)*(1-B34)</f>
        <v>0.890939622465927</v>
      </c>
      <c r="D34" s="80" t="n">
        <f aca="false">1-(1-$D$20)^A34</f>
        <v>0.600362622114258</v>
      </c>
    </row>
    <row r="35" customFormat="false" ht="15" hidden="false" customHeight="false" outlineLevel="0" collapsed="false">
      <c r="A35" s="79" t="n">
        <v>12</v>
      </c>
      <c r="B35" s="60" t="n">
        <f aca="false">MIN(1,$D$20+$D$21*(A35-1))</f>
        <v>0.3</v>
      </c>
      <c r="C35" s="80" t="n">
        <f aca="false">1-(1-C34)*(1-B35)</f>
        <v>0.923657735726149</v>
      </c>
      <c r="D35" s="80" t="n">
        <f aca="false">1-(1-$D$20)^A35</f>
        <v>0.632333612345118</v>
      </c>
    </row>
    <row r="37" customFormat="false" ht="15" hidden="false" customHeight="false" outlineLevel="0" collapsed="false">
      <c r="A37" s="50" t="s">
        <v>362</v>
      </c>
    </row>
    <row r="39" customFormat="false" ht="15" hidden="false" customHeight="false" outlineLevel="0" collapsed="false">
      <c r="A39" s="46" t="s">
        <v>363</v>
      </c>
    </row>
    <row r="40" customFormat="false" ht="19.5" hidden="false" customHeight="true" outlineLevel="0" collapsed="false">
      <c r="A40" s="1" t="s">
        <v>364</v>
      </c>
      <c r="B40" s="1" t="s">
        <v>365</v>
      </c>
      <c r="C40" s="1" t="s">
        <v>12</v>
      </c>
      <c r="D40" s="1" t="s">
        <v>67</v>
      </c>
      <c r="E40" s="1" t="s">
        <v>104</v>
      </c>
      <c r="F40" s="1" t="s">
        <v>135</v>
      </c>
    </row>
    <row r="41" customFormat="false" ht="15" hidden="false" customHeight="false" outlineLevel="0" collapsed="false">
      <c r="A41" s="81" t="s">
        <v>366</v>
      </c>
      <c r="B41" s="82" t="n">
        <v>19</v>
      </c>
      <c r="C41" s="83" t="n">
        <f aca="false">$B41*B5</f>
        <v>11.4</v>
      </c>
      <c r="D41" s="83" t="n">
        <f aca="false">$B41*C5</f>
        <v>6.08</v>
      </c>
      <c r="E41" s="83" t="n">
        <f aca="false">$B41*D5</f>
        <v>1.33</v>
      </c>
      <c r="F41" s="83" t="n">
        <f aca="false">$B41*E5</f>
        <v>0.19</v>
      </c>
    </row>
    <row r="42" customFormat="false" ht="15" hidden="false" customHeight="false" outlineLevel="0" collapsed="false">
      <c r="A42" s="81" t="s">
        <v>367</v>
      </c>
      <c r="B42" s="82" t="n">
        <v>5</v>
      </c>
      <c r="C42" s="83" t="n">
        <f aca="false">$B42*B6</f>
        <v>0</v>
      </c>
      <c r="D42" s="83" t="n">
        <f aca="false">$B42*C6</f>
        <v>4</v>
      </c>
      <c r="E42" s="83" t="n">
        <f aca="false">$B42*D6</f>
        <v>1</v>
      </c>
      <c r="F42" s="83" t="n">
        <f aca="false">$B42*E6</f>
        <v>0</v>
      </c>
    </row>
    <row r="43" customFormat="false" ht="15" hidden="false" customHeight="false" outlineLevel="0" collapsed="false">
      <c r="A43" s="81" t="s">
        <v>368</v>
      </c>
      <c r="B43" s="82" t="n">
        <v>3</v>
      </c>
      <c r="C43" s="83" t="n">
        <f aca="false">$B43*B8</f>
        <v>0</v>
      </c>
      <c r="D43" s="83" t="n">
        <f aca="false">$B43*C8</f>
        <v>0</v>
      </c>
      <c r="E43" s="83" t="n">
        <f aca="false">$B43*D8</f>
        <v>2.7</v>
      </c>
      <c r="F43" s="83" t="n">
        <f aca="false">$B43*E8</f>
        <v>0.3</v>
      </c>
    </row>
    <row r="44" customFormat="false" ht="15" hidden="false" customHeight="false" outlineLevel="0" collapsed="false">
      <c r="A44" s="81" t="s">
        <v>369</v>
      </c>
      <c r="B44" s="82" t="n">
        <v>1</v>
      </c>
      <c r="C44" s="83" t="n">
        <f aca="false">$B44*B7</f>
        <v>0</v>
      </c>
      <c r="D44" s="83" t="n">
        <f aca="false">$B44*C7</f>
        <v>0</v>
      </c>
      <c r="E44" s="83" t="n">
        <f aca="false">$B44*D7</f>
        <v>0</v>
      </c>
      <c r="F44" s="83" t="n">
        <f aca="false">$B44*E7</f>
        <v>1</v>
      </c>
    </row>
    <row r="45" customFormat="false" ht="15" hidden="false" customHeight="false" outlineLevel="0" collapsed="false">
      <c r="A45" s="30" t="s">
        <v>370</v>
      </c>
      <c r="B45" s="84" t="n">
        <f aca="false">SUM(B41:B44)</f>
        <v>28</v>
      </c>
      <c r="C45" s="85" t="n">
        <f aca="false">SUM(C41:C44)</f>
        <v>11.4</v>
      </c>
      <c r="D45" s="85" t="n">
        <f aca="false">SUM(D41:D44)</f>
        <v>10.08</v>
      </c>
      <c r="E45" s="85" t="n">
        <f aca="false">SUM(E41:E44)</f>
        <v>5.03</v>
      </c>
      <c r="F45" s="85" t="n">
        <f aca="false">SUM(F41:F44)</f>
        <v>1.49</v>
      </c>
    </row>
    <row r="46" customFormat="false" ht="15" hidden="false" customHeight="false" outlineLevel="0" collapsed="false">
      <c r="A46" s="5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86" t="s">
        <v>372</v>
      </c>
    </row>
    <row r="2" customFormat="false" ht="15" hidden="false" customHeight="false" outlineLevel="0" collapsed="false">
      <c r="A2" s="87"/>
    </row>
    <row r="3" customFormat="false" ht="15" hidden="false" customHeight="false" outlineLevel="0" collapsed="false">
      <c r="A3" s="88" t="s">
        <v>373</v>
      </c>
    </row>
    <row r="4" customFormat="false" ht="15" hidden="false" customHeight="false" outlineLevel="0" collapsed="false">
      <c r="A4" s="87" t="s">
        <v>374</v>
      </c>
    </row>
    <row r="5" customFormat="false" ht="15" hidden="false" customHeight="false" outlineLevel="0" collapsed="false">
      <c r="A5" s="87" t="s">
        <v>375</v>
      </c>
    </row>
    <row r="6" customFormat="false" ht="15" hidden="false" customHeight="false" outlineLevel="0" collapsed="false">
      <c r="A6" s="87" t="s">
        <v>376</v>
      </c>
    </row>
    <row r="7" customFormat="false" ht="15" hidden="false" customHeight="false" outlineLevel="0" collapsed="false">
      <c r="A7" s="87" t="s">
        <v>377</v>
      </c>
    </row>
    <row r="8" customFormat="false" ht="15" hidden="false" customHeight="false" outlineLevel="0" collapsed="false">
      <c r="A8" s="87"/>
    </row>
    <row r="9" customFormat="false" ht="15" hidden="false" customHeight="false" outlineLevel="0" collapsed="false">
      <c r="A9" s="88" t="s">
        <v>378</v>
      </c>
    </row>
    <row r="10" customFormat="false" ht="15" hidden="false" customHeight="false" outlineLevel="0" collapsed="false">
      <c r="A10" s="87" t="s">
        <v>379</v>
      </c>
    </row>
    <row r="11" customFormat="false" ht="15" hidden="false" customHeight="false" outlineLevel="0" collapsed="false">
      <c r="A11" s="87" t="s">
        <v>380</v>
      </c>
    </row>
    <row r="12" customFormat="false" ht="15" hidden="false" customHeight="false" outlineLevel="0" collapsed="false">
      <c r="A12" s="87" t="s">
        <v>381</v>
      </c>
    </row>
    <row r="13" customFormat="false" ht="15" hidden="false" customHeight="false" outlineLevel="0" collapsed="false">
      <c r="A13" s="87"/>
    </row>
    <row r="14" customFormat="false" ht="15" hidden="false" customHeight="false" outlineLevel="0" collapsed="false">
      <c r="A14" s="88" t="s">
        <v>382</v>
      </c>
    </row>
    <row r="15" customFormat="false" ht="15" hidden="false" customHeight="false" outlineLevel="0" collapsed="false">
      <c r="A15" s="87" t="s">
        <v>383</v>
      </c>
    </row>
    <row r="16" customFormat="false" ht="15" hidden="false" customHeight="false" outlineLevel="0" collapsed="false">
      <c r="A16" s="87" t="s">
        <v>384</v>
      </c>
    </row>
    <row r="17" customFormat="false" ht="15" hidden="false" customHeight="false" outlineLevel="0" collapsed="false">
      <c r="A17" s="87"/>
    </row>
    <row r="18" customFormat="false" ht="15" hidden="false" customHeight="false" outlineLevel="0" collapsed="false">
      <c r="A18" s="88" t="s">
        <v>385</v>
      </c>
    </row>
    <row r="19" customFormat="false" ht="15" hidden="false" customHeight="false" outlineLevel="0" collapsed="false">
      <c r="A19" s="87" t="s">
        <v>386</v>
      </c>
    </row>
    <row r="20" customFormat="false" ht="15" hidden="false" customHeight="false" outlineLevel="0" collapsed="false">
      <c r="A20" s="87" t="s">
        <v>387</v>
      </c>
    </row>
    <row r="21" customFormat="false" ht="15" hidden="false" customHeight="false" outlineLevel="0" collapsed="false">
      <c r="A21" s="87"/>
    </row>
    <row r="22" customFormat="false" ht="15" hidden="false" customHeight="false" outlineLevel="0" collapsed="false">
      <c r="A22" s="88" t="s">
        <v>388</v>
      </c>
    </row>
    <row r="23" customFormat="false" ht="23.85" hidden="false" customHeight="false" outlineLevel="0" collapsed="false">
      <c r="A23" s="87" t="s">
        <v>389</v>
      </c>
    </row>
    <row r="24" customFormat="false" ht="15" hidden="false" customHeight="false" outlineLevel="0" collapsed="false">
      <c r="A24" s="87"/>
    </row>
    <row r="25" customFormat="false" ht="15" hidden="false" customHeight="false" outlineLevel="0" collapsed="false">
      <c r="A25" s="88" t="s">
        <v>390</v>
      </c>
    </row>
    <row r="26" customFormat="false" ht="23.85" hidden="false" customHeight="false" outlineLevel="0" collapsed="false">
      <c r="A26" s="87" t="s">
        <v>391</v>
      </c>
    </row>
    <row r="27" customFormat="false" ht="23.85" hidden="false" customHeight="false" outlineLevel="0" collapsed="false">
      <c r="A27" s="87" t="s">
        <v>392</v>
      </c>
    </row>
    <row r="28" customFormat="false" ht="15" hidden="false" customHeight="false" outlineLevel="0" collapsed="false">
      <c r="A28" s="87" t="s">
        <v>393</v>
      </c>
    </row>
    <row r="29" customFormat="false" ht="15" hidden="false" customHeight="false" outlineLevel="0" collapsed="false">
      <c r="A29" s="87"/>
    </row>
    <row r="30" customFormat="false" ht="15" hidden="false" customHeight="false" outlineLevel="0" collapsed="false">
      <c r="A30" s="88" t="s">
        <v>394</v>
      </c>
    </row>
    <row r="31" customFormat="false" ht="23.85" hidden="false" customHeight="false" outlineLevel="0" collapsed="false">
      <c r="A31" s="87" t="s">
        <v>395</v>
      </c>
    </row>
    <row r="32" customFormat="false" ht="23.85" hidden="false" customHeight="false" outlineLevel="0" collapsed="false">
      <c r="A32" s="87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2026-10-19T13:37:06Z</dcterms:created>
  <dc:creator>openpyxl</dc:creator>
  <dc:description/>
  <dc:language>en-US</dc:language>
  <cp:lastModifiedBy/>
  <dcterms:modified xsi:type="dcterms:W3CDTF">2026-10-19T13:37:06Z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